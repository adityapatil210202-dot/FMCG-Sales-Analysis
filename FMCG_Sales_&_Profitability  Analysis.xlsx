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477ABC0-0A25-49A2-889F-CBC865D3018C}" xr6:coauthVersionLast="47" xr6:coauthVersionMax="47" xr10:uidLastSave="{00000000-0000-0000-0000-000000000000}"/>
  <bookViews>
    <workbookView xWindow="-108" yWindow="-108" windowWidth="23256" windowHeight="12456" xr2:uid="{781450AA-9A5D-4359-B89D-D628CDEA3540}"/>
  </bookViews>
  <sheets>
    <sheet name="Dashboard" sheetId="5" r:id="rId1"/>
    <sheet name="Questions &amp; KPI's" sheetId="6" r:id="rId2"/>
    <sheet name="Pivots" sheetId="7" r:id="rId3"/>
    <sheet name="Dataset" sheetId="3" r:id="rId4"/>
  </sheets>
  <definedNames>
    <definedName name="Slicer_Month_Name">#N/A</definedName>
    <definedName name="Slicer_Product_Category">#N/A</definedName>
    <definedName name="Slicer_Promotion_Type">#N/A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7" l="1"/>
  <c r="C38" i="7"/>
  <c r="C39" i="7"/>
  <c r="C40" i="7"/>
  <c r="D6" i="7"/>
  <c r="C6" i="7"/>
  <c r="A6" i="7"/>
  <c r="B6" i="7"/>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B120" i="7"/>
  <c r="F38" i="7"/>
  <c r="B119" i="7"/>
  <c r="B118" i="7"/>
  <c r="D39" i="7"/>
  <c r="F39" i="7"/>
  <c r="F37" i="7"/>
  <c r="D40" i="7"/>
  <c r="F40" i="7"/>
  <c r="D38" i="7"/>
  <c r="D37" i="7"/>
  <c r="E39" i="7"/>
  <c r="E40" i="7"/>
  <c r="E38" i="7"/>
  <c r="E37" i="7"/>
</calcChain>
</file>

<file path=xl/sharedStrings.xml><?xml version="1.0" encoding="utf-8"?>
<sst xmlns="http://schemas.openxmlformats.org/spreadsheetml/2006/main" count="5957" uniqueCount="727">
  <si>
    <t>Order_ID</t>
  </si>
  <si>
    <t>Order_Date</t>
  </si>
  <si>
    <t>Month_Name</t>
  </si>
  <si>
    <t>Region</t>
  </si>
  <si>
    <t>City</t>
  </si>
  <si>
    <t>Sales_Person</t>
  </si>
  <si>
    <t>Customer_Type</t>
  </si>
  <si>
    <t>Sales_Channel</t>
  </si>
  <si>
    <t>Promotion_Type</t>
  </si>
  <si>
    <t>Product_Category</t>
  </si>
  <si>
    <t>Product_Name</t>
  </si>
  <si>
    <t>Units_Sold</t>
  </si>
  <si>
    <t>Discount_Pct</t>
  </si>
  <si>
    <t>Profit_Margin_Pct</t>
  </si>
  <si>
    <t>September</t>
  </si>
  <si>
    <t>B2C</t>
  </si>
  <si>
    <t>Modern Trade</t>
  </si>
  <si>
    <t>Seasonal Campaign</t>
  </si>
  <si>
    <t>Personal Care</t>
  </si>
  <si>
    <t>Shampoo Repair</t>
  </si>
  <si>
    <t>October</t>
  </si>
  <si>
    <t>Mumbai</t>
  </si>
  <si>
    <t>Meera Nair</t>
  </si>
  <si>
    <t>Online</t>
  </si>
  <si>
    <t>Bundle Offer</t>
  </si>
  <si>
    <t>Toothpaste Mint</t>
  </si>
  <si>
    <t>July</t>
  </si>
  <si>
    <t>B2B</t>
  </si>
  <si>
    <t>Distributor</t>
  </si>
  <si>
    <t>Body Wash Citrus</t>
  </si>
  <si>
    <t>May</t>
  </si>
  <si>
    <t>Wholesale</t>
  </si>
  <si>
    <t>No Promo</t>
  </si>
  <si>
    <t>Snacks</t>
  </si>
  <si>
    <t>Protein Bar Peanut</t>
  </si>
  <si>
    <t>August</t>
  </si>
  <si>
    <t>Loyalty Cashback</t>
  </si>
  <si>
    <t>Dairy &amp; Breakfast</t>
  </si>
  <si>
    <t>Greek Yogurt Plain</t>
  </si>
  <si>
    <t>Nikhil Bhat</t>
  </si>
  <si>
    <t>FMCG-2025-000007</t>
  </si>
  <si>
    <t>March</t>
  </si>
  <si>
    <t>Hyderabad</t>
  </si>
  <si>
    <t>Farah Siddiqui</t>
  </si>
  <si>
    <t>January</t>
  </si>
  <si>
    <t>Introductory Offer</t>
  </si>
  <si>
    <t>Household</t>
  </si>
  <si>
    <t>Paper Towels</t>
  </si>
  <si>
    <t>Beverages</t>
  </si>
  <si>
    <t>Energy Drink Classic</t>
  </si>
  <si>
    <t>December</t>
  </si>
  <si>
    <t>Glass Cleaner</t>
  </si>
  <si>
    <t>Flash Discount</t>
  </si>
  <si>
    <t>Potato Chips BBQ</t>
  </si>
  <si>
    <t>Sparkling Water Lemon</t>
  </si>
  <si>
    <t>February</t>
  </si>
  <si>
    <t>Energy Drink Zero</t>
  </si>
  <si>
    <t>Sparkling Water Berry</t>
  </si>
  <si>
    <t>June</t>
  </si>
  <si>
    <t>Conditioner Smooth</t>
  </si>
  <si>
    <t>Peanut Butter Creamy</t>
  </si>
  <si>
    <t>April</t>
  </si>
  <si>
    <t>Instant Coffee Gold</t>
  </si>
  <si>
    <t>Delhi</t>
  </si>
  <si>
    <t>Rohan Iyer</t>
  </si>
  <si>
    <t>Aarav Malhotra</t>
  </si>
  <si>
    <t>Bengaluru</t>
  </si>
  <si>
    <t>November</t>
  </si>
  <si>
    <t>Rizwan Khan</t>
  </si>
  <si>
    <t>Diya Kapoor</t>
  </si>
  <si>
    <t>Protein Bar Cocoa</t>
  </si>
  <si>
    <t>Hand Soap Gentle</t>
  </si>
  <si>
    <t>Yogurt Cup Strawberry</t>
  </si>
  <si>
    <t>Trail Mix Original</t>
  </si>
  <si>
    <t>Green Tea Bags</t>
  </si>
  <si>
    <t>Oats Wholegrain</t>
  </si>
  <si>
    <t>Laundry Detergent</t>
  </si>
  <si>
    <t>Granola Honey</t>
  </si>
  <si>
    <t>Chocolate Cookies</t>
  </si>
  <si>
    <t>Potato Chips Sea Salt</t>
  </si>
  <si>
    <t>Toothbrush Soft</t>
  </si>
  <si>
    <t>Surface Cleaner</t>
  </si>
  <si>
    <t>Anika Verma</t>
  </si>
  <si>
    <t>Dishwash Liquid</t>
  </si>
  <si>
    <t>Festival Campaign</t>
  </si>
  <si>
    <t>FMCG-2025-000089</t>
  </si>
  <si>
    <t>FMCG-2025-000090</t>
  </si>
  <si>
    <t>FMCG-2025-000101</t>
  </si>
  <si>
    <t>FMCG-2025-000115</t>
  </si>
  <si>
    <t>Tissue Pack</t>
  </si>
  <si>
    <t>Cereal Corn Flakes</t>
  </si>
  <si>
    <t>FMCG-2025-000139</t>
  </si>
  <si>
    <t>FMCG-2025-000162</t>
  </si>
  <si>
    <t>FMCG-2025-000201</t>
  </si>
  <si>
    <t>FMCG-2025-000357</t>
  </si>
  <si>
    <t>FMCG-2025-000360</t>
  </si>
  <si>
    <t>FMCG-2025-000383</t>
  </si>
  <si>
    <t>FMCG-2025-000392</t>
  </si>
  <si>
    <t>FMCG-2025-000419</t>
  </si>
  <si>
    <t>FMCG-2025-000443</t>
  </si>
  <si>
    <t>FMCG-2025-000479</t>
  </si>
  <si>
    <t>FMCG-2025-000550</t>
  </si>
  <si>
    <t>FMCG-2025-000558</t>
  </si>
  <si>
    <t>FMCG-2025-000574</t>
  </si>
  <si>
    <t>FMCG-2025-000595</t>
  </si>
  <si>
    <t>FMCG-2025-000688</t>
  </si>
  <si>
    <t>FMCG-2025-000724</t>
  </si>
  <si>
    <t>FMCG-2025-000731</t>
  </si>
  <si>
    <t>FMCG-2025-000754</t>
  </si>
  <si>
    <t>FMCG-2025-000761</t>
  </si>
  <si>
    <t>FMCG-2025-000765</t>
  </si>
  <si>
    <t>FMCG-2025-000875</t>
  </si>
  <si>
    <t>FMCG-2025-000942</t>
  </si>
  <si>
    <t>FMCG-2025-001038</t>
  </si>
  <si>
    <t>FMCG-2025-001071</t>
  </si>
  <si>
    <t>FMCG-2025-001085</t>
  </si>
  <si>
    <t>FMCG-2025-001096</t>
  </si>
  <si>
    <t>FMCG-2025-001153</t>
  </si>
  <si>
    <t>FMCG-2025-001186</t>
  </si>
  <si>
    <t>FMCG-2025-001230</t>
  </si>
  <si>
    <t>FMCG-2025-001238</t>
  </si>
  <si>
    <t>FMCG-2025-001291</t>
  </si>
  <si>
    <t>FMCG-2025-001309</t>
  </si>
  <si>
    <t>FMCG-2025-001366</t>
  </si>
  <si>
    <t>FMCG-2025-001433</t>
  </si>
  <si>
    <t>FMCG-2025-001472</t>
  </si>
  <si>
    <t>FMCG-2025-001538</t>
  </si>
  <si>
    <t>FMCG-2025-001599</t>
  </si>
  <si>
    <t>FMCG-2025-001657</t>
  </si>
  <si>
    <t>FMCG-2025-001717</t>
  </si>
  <si>
    <t>FMCG-2025-001782</t>
  </si>
  <si>
    <t>FMCG-2025-001825</t>
  </si>
  <si>
    <t>FMCG-2025-001836</t>
  </si>
  <si>
    <t>FMCG-2025-001872</t>
  </si>
  <si>
    <t>FMCG-2025-001879</t>
  </si>
  <si>
    <t>FMCG-2025-001945</t>
  </si>
  <si>
    <t>FMCG-2025-001962</t>
  </si>
  <si>
    <t>FMCG-2025-001981</t>
  </si>
  <si>
    <t>FMCG-2025-002017</t>
  </si>
  <si>
    <t>FMCG-2025-002018</t>
  </si>
  <si>
    <t>FMCG-2025-002037</t>
  </si>
  <si>
    <t>FMCG-2025-002063</t>
  </si>
  <si>
    <t>FMCG-2025-002090</t>
  </si>
  <si>
    <t>FMCG-2025-002106</t>
  </si>
  <si>
    <t>FMCG-2025-002125</t>
  </si>
  <si>
    <t>FMCG-2025-002175</t>
  </si>
  <si>
    <t>FMCG-2025-002197</t>
  </si>
  <si>
    <t>FMCG-2025-002260</t>
  </si>
  <si>
    <t>FMCG-2025-002272</t>
  </si>
  <si>
    <t>FMCG-2025-002346</t>
  </si>
  <si>
    <t>FMCG-2025-002369</t>
  </si>
  <si>
    <t>FMCG-2025-002555</t>
  </si>
  <si>
    <t>FMCG-2025-002562</t>
  </si>
  <si>
    <t>FMCG-2025-002575</t>
  </si>
  <si>
    <t>FMCG-2025-002629</t>
  </si>
  <si>
    <t>FMCG-2025-002673</t>
  </si>
  <si>
    <t>FMCG-2025-002705</t>
  </si>
  <si>
    <t>FMCG-2025-002707</t>
  </si>
  <si>
    <t>FMCG-2025-002795</t>
  </si>
  <si>
    <t>FMCG-2025-002813</t>
  </si>
  <si>
    <t>FMCG-2025-002828</t>
  </si>
  <si>
    <t>FMCG-2025-002829</t>
  </si>
  <si>
    <t>FMCG-2025-002862</t>
  </si>
  <si>
    <t>FMCG-2025-002881</t>
  </si>
  <si>
    <t>FMCG-2025-002891</t>
  </si>
  <si>
    <t>FMCG-2025-002896</t>
  </si>
  <si>
    <t>FMCG-2025-002928</t>
  </si>
  <si>
    <t>FMCG-2025-003044</t>
  </si>
  <si>
    <t>FMCG-2025-003060</t>
  </si>
  <si>
    <t>FMCG-2025-003083</t>
  </si>
  <si>
    <t>FMCG-2025-003096</t>
  </si>
  <si>
    <t>FMCG-2025-003100</t>
  </si>
  <si>
    <t>FMCG-2025-003130</t>
  </si>
  <si>
    <t>FMCG-2025-003169</t>
  </si>
  <si>
    <t>FMCG-2025-003183</t>
  </si>
  <si>
    <t>FMCG-2025-003198</t>
  </si>
  <si>
    <t>FMCG-2025-003224</t>
  </si>
  <si>
    <t>FMCG-2025-003228</t>
  </si>
  <si>
    <t>FMCG-2025-003277</t>
  </si>
  <si>
    <t>FMCG-2025-003313</t>
  </si>
  <si>
    <t>FMCG-2025-003354</t>
  </si>
  <si>
    <t>FMCG-2025-003390</t>
  </si>
  <si>
    <t>FMCG-2025-003447</t>
  </si>
  <si>
    <t>FMCG-2025-003450</t>
  </si>
  <si>
    <t>FMCG-2025-003485</t>
  </si>
  <si>
    <t>FMCG-2025-003518</t>
  </si>
  <si>
    <t>FMCG-2025-003554</t>
  </si>
  <si>
    <t>FMCG-2025-003566</t>
  </si>
  <si>
    <t>FMCG-2025-003574</t>
  </si>
  <si>
    <t>FMCG-2025-003606</t>
  </si>
  <si>
    <t>FMCG-2025-003610</t>
  </si>
  <si>
    <t>FMCG-2025-003627</t>
  </si>
  <si>
    <t>FMCG-2025-003628</t>
  </si>
  <si>
    <t>FMCG-2025-003683</t>
  </si>
  <si>
    <t>FMCG-2025-003713</t>
  </si>
  <si>
    <t>FMCG-2025-003774</t>
  </si>
  <si>
    <t>FMCG-2025-003796</t>
  </si>
  <si>
    <t>FMCG-2025-003866</t>
  </si>
  <si>
    <t>FMCG-2025-003910</t>
  </si>
  <si>
    <t>FMCG-2025-003929</t>
  </si>
  <si>
    <t>FMCG-2025-003935</t>
  </si>
  <si>
    <t>FMCG-2025-003953</t>
  </si>
  <si>
    <t>FMCG-2025-003960</t>
  </si>
  <si>
    <t>FMCG-2025-003988</t>
  </si>
  <si>
    <t>FMCG-2025-004009</t>
  </si>
  <si>
    <t>FMCG-2025-004020</t>
  </si>
  <si>
    <t>FMCG-2025-004108</t>
  </si>
  <si>
    <t>FMCG-2025-004144</t>
  </si>
  <si>
    <t>FMCG-2025-004229</t>
  </si>
  <si>
    <t>FMCG-2025-004297</t>
  </si>
  <si>
    <t>FMCG-2025-004331</t>
  </si>
  <si>
    <t>FMCG-2025-004364</t>
  </si>
  <si>
    <t>FMCG-2025-004400</t>
  </si>
  <si>
    <t>FMCG-2025-004410</t>
  </si>
  <si>
    <t>FMCG-2025-004437</t>
  </si>
  <si>
    <t>FMCG-2025-004441</t>
  </si>
  <si>
    <t>FMCG-2025-004459</t>
  </si>
  <si>
    <t>FMCG-2025-004486</t>
  </si>
  <si>
    <t>FMCG-2025-004494</t>
  </si>
  <si>
    <t>FMCG-2025-004516</t>
  </si>
  <si>
    <t>FMCG-2025-004579</t>
  </si>
  <si>
    <t>FMCG-2025-004586</t>
  </si>
  <si>
    <t>FMCG-2025-004592</t>
  </si>
  <si>
    <t>FMCG-2025-004604</t>
  </si>
  <si>
    <t>FMCG-2025-004621</t>
  </si>
  <si>
    <t>FMCG-2025-004630</t>
  </si>
  <si>
    <t>FMCG-2025-004663</t>
  </si>
  <si>
    <t>FMCG-2025-004721</t>
  </si>
  <si>
    <t>FMCG-2025-004761</t>
  </si>
  <si>
    <t>FMCG-2025-004771</t>
  </si>
  <si>
    <t>FMCG-2025-004785</t>
  </si>
  <si>
    <t>FMCG-2025-004841</t>
  </si>
  <si>
    <t>FMCG-2025-004860</t>
  </si>
  <si>
    <t>FMCG-2025-004906</t>
  </si>
  <si>
    <t>FMCG-2025-004908</t>
  </si>
  <si>
    <t>FMCG-2025-004923</t>
  </si>
  <si>
    <t>FMCG-2025-004931</t>
  </si>
  <si>
    <t>FMCG-2025-004945</t>
  </si>
  <si>
    <t>FMCG-2025-004958</t>
  </si>
  <si>
    <t>FMCG-2025-005002</t>
  </si>
  <si>
    <t>FMCG-2025-005067</t>
  </si>
  <si>
    <t>FMCG-2025-005069</t>
  </si>
  <si>
    <t>FMCG-2025-005106</t>
  </si>
  <si>
    <t>FMCG-2025-005128</t>
  </si>
  <si>
    <t>FMCG-2025-005174</t>
  </si>
  <si>
    <t>FMCG-2025-005176</t>
  </si>
  <si>
    <t>FMCG-2025-005229</t>
  </si>
  <si>
    <t>FMCG-2025-005248</t>
  </si>
  <si>
    <t>FMCG-2025-005276</t>
  </si>
  <si>
    <t>FMCG-2025-005278</t>
  </si>
  <si>
    <t>FMCG-2025-005291</t>
  </si>
  <si>
    <t>FMCG-2025-005318</t>
  </si>
  <si>
    <t>FMCG-2025-005385</t>
  </si>
  <si>
    <t>FMCG-2025-005406</t>
  </si>
  <si>
    <t>FMCG-2025-005446</t>
  </si>
  <si>
    <t>FMCG-2025-005467</t>
  </si>
  <si>
    <t>FMCG-2025-005480</t>
  </si>
  <si>
    <t>FMCG-2025-005490</t>
  </si>
  <si>
    <t>FMCG-2025-005500</t>
  </si>
  <si>
    <t>FMCG-2025-005549</t>
  </si>
  <si>
    <t>FMCG-2025-005550</t>
  </si>
  <si>
    <t>FMCG-2025-005580</t>
  </si>
  <si>
    <t>FMCG-2025-005624</t>
  </si>
  <si>
    <t>FMCG-2025-005665</t>
  </si>
  <si>
    <t>FMCG-2025-005703</t>
  </si>
  <si>
    <t>FMCG-2025-005736</t>
  </si>
  <si>
    <t>FMCG-2025-005772</t>
  </si>
  <si>
    <t>FMCG-2025-005792</t>
  </si>
  <si>
    <t>FMCG-2025-005799</t>
  </si>
  <si>
    <t>FMCG-2025-005807</t>
  </si>
  <si>
    <t>FMCG-2025-005820</t>
  </si>
  <si>
    <t>FMCG-2025-005907</t>
  </si>
  <si>
    <t>FMCG-2025-005923</t>
  </si>
  <si>
    <t>FMCG-2025-005962</t>
  </si>
  <si>
    <t>FMCG-2025-005964</t>
  </si>
  <si>
    <t>FMCG-2025-006005</t>
  </si>
  <si>
    <t>FMCG-2025-006017</t>
  </si>
  <si>
    <t>FMCG-2025-006042</t>
  </si>
  <si>
    <t>FMCG-2025-006069</t>
  </si>
  <si>
    <t>FMCG-2025-006090</t>
  </si>
  <si>
    <t>FMCG-2025-006093</t>
  </si>
  <si>
    <t>FMCG-2025-006172</t>
  </si>
  <si>
    <t>FMCG-2025-006189</t>
  </si>
  <si>
    <t>FMCG-2025-006201</t>
  </si>
  <si>
    <t>FMCG-2025-006220</t>
  </si>
  <si>
    <t>FMCG-2025-006241</t>
  </si>
  <si>
    <t>FMCG-2025-006283</t>
  </si>
  <si>
    <t>FMCG-2025-006320</t>
  </si>
  <si>
    <t>FMCG-2025-006383</t>
  </si>
  <si>
    <t>FMCG-2025-006404</t>
  </si>
  <si>
    <t>FMCG-2025-006425</t>
  </si>
  <si>
    <t>FMCG-2025-006440</t>
  </si>
  <si>
    <t>FMCG-2025-006461</t>
  </si>
  <si>
    <t>FMCG-2025-006465</t>
  </si>
  <si>
    <t>FMCG-2025-006470</t>
  </si>
  <si>
    <t>FMCG-2025-006500</t>
  </si>
  <si>
    <t>FMCG-2025-006504</t>
  </si>
  <si>
    <t>FMCG-2025-006512</t>
  </si>
  <si>
    <t>FMCG-2025-006521</t>
  </si>
  <si>
    <t>FMCG-2025-006527</t>
  </si>
  <si>
    <t>FMCG-2025-006569</t>
  </si>
  <si>
    <t>FMCG-2025-006580</t>
  </si>
  <si>
    <t>FMCG-2025-006646</t>
  </si>
  <si>
    <t>FMCG-2025-006656</t>
  </si>
  <si>
    <t>FMCG-2025-006665</t>
  </si>
  <si>
    <t>FMCG-2025-006743</t>
  </si>
  <si>
    <t>FMCG-2025-006792</t>
  </si>
  <si>
    <t>FMCG-2025-006813</t>
  </si>
  <si>
    <t>FMCG-2025-006827</t>
  </si>
  <si>
    <t>FMCG-2025-006836</t>
  </si>
  <si>
    <t>FMCG-2025-006856</t>
  </si>
  <si>
    <t>FMCG-2025-006921</t>
  </si>
  <si>
    <t>FMCG-2025-006931</t>
  </si>
  <si>
    <t>FMCG-2025-006949</t>
  </si>
  <si>
    <t>FMCG-2025-007012</t>
  </si>
  <si>
    <t>FMCG-2025-007021</t>
  </si>
  <si>
    <t>FMCG-2025-007043</t>
  </si>
  <si>
    <t>FMCG-2025-007071</t>
  </si>
  <si>
    <t>FMCG-2025-007079</t>
  </si>
  <si>
    <t>FMCG-2025-007171</t>
  </si>
  <si>
    <t>FMCG-2025-007178</t>
  </si>
  <si>
    <t>FMCG-2025-007210</t>
  </si>
  <si>
    <t>FMCG-2025-007211</t>
  </si>
  <si>
    <t>FMCG-2025-007260</t>
  </si>
  <si>
    <t>FMCG-2025-007263</t>
  </si>
  <si>
    <t>FMCG-2025-007279</t>
  </si>
  <si>
    <t>FMCG-2025-007298</t>
  </si>
  <si>
    <t>FMCG-2025-007301</t>
  </si>
  <si>
    <t>FMCG-2025-007302</t>
  </si>
  <si>
    <t>FMCG-2025-007368</t>
  </si>
  <si>
    <t>FMCG-2025-007424</t>
  </si>
  <si>
    <t>FMCG-2025-007514</t>
  </si>
  <si>
    <t>FMCG-2025-007539</t>
  </si>
  <si>
    <t>FMCG-2025-007561</t>
  </si>
  <si>
    <t>FMCG-2025-007588</t>
  </si>
  <si>
    <t>FMCG-2025-007589</t>
  </si>
  <si>
    <t>FMCG-2025-007608</t>
  </si>
  <si>
    <t>FMCG-2025-007646</t>
  </si>
  <si>
    <t>FMCG-2025-007689</t>
  </si>
  <si>
    <t>FMCG-2025-007713</t>
  </si>
  <si>
    <t>FMCG-2025-007749</t>
  </si>
  <si>
    <t>FMCG-2025-007788</t>
  </si>
  <si>
    <t>FMCG-2025-007806</t>
  </si>
  <si>
    <t>FMCG-2025-007811</t>
  </si>
  <si>
    <t>FMCG-2025-007833</t>
  </si>
  <si>
    <t>FMCG-2025-007872</t>
  </si>
  <si>
    <t>FMCG-2025-007882</t>
  </si>
  <si>
    <t>FMCG-2025-007893</t>
  </si>
  <si>
    <t>FMCG-2025-007922</t>
  </si>
  <si>
    <t>FMCG-2025-007985</t>
  </si>
  <si>
    <t>FMCG-2025-008011</t>
  </si>
  <si>
    <t>FMCG-2025-008118</t>
  </si>
  <si>
    <t>FMCG-2025-008161</t>
  </si>
  <si>
    <t>FMCG-2025-008340</t>
  </si>
  <si>
    <t>FMCG-2025-008387</t>
  </si>
  <si>
    <t>FMCG-2025-008413</t>
  </si>
  <si>
    <t>FMCG-2025-008480</t>
  </si>
  <si>
    <t>FMCG-2025-008488</t>
  </si>
  <si>
    <t>FMCG-2025-008491</t>
  </si>
  <si>
    <t>FMCG-2025-008527</t>
  </si>
  <si>
    <t>FMCG-2025-008550</t>
  </si>
  <si>
    <t>FMCG-2025-008678</t>
  </si>
  <si>
    <t>FMCG-2025-008737</t>
  </si>
  <si>
    <t>FMCG-2025-008779</t>
  </si>
  <si>
    <t>FMCG-2025-008781</t>
  </si>
  <si>
    <t>FMCG-2025-008845</t>
  </si>
  <si>
    <t>FMCG-2025-008944</t>
  </si>
  <si>
    <t>FMCG-2025-008951</t>
  </si>
  <si>
    <t>FMCG-2025-008992</t>
  </si>
  <si>
    <t>FMCG-2025-009072</t>
  </si>
  <si>
    <t>FMCG-2025-009077</t>
  </si>
  <si>
    <t>FMCG-2025-009121</t>
  </si>
  <si>
    <t>FMCG-2025-009210</t>
  </si>
  <si>
    <t>FMCG-2025-009248</t>
  </si>
  <si>
    <t>FMCG-2025-009335</t>
  </si>
  <si>
    <t>FMCG-2025-009429</t>
  </si>
  <si>
    <t>FMCG-2025-009509</t>
  </si>
  <si>
    <t>FMCG-2025-009537</t>
  </si>
  <si>
    <t>FMCG-2025-009548</t>
  </si>
  <si>
    <t>FMCG-2025-009590</t>
  </si>
  <si>
    <t>FMCG-2025-009692</t>
  </si>
  <si>
    <t>FMCG-2025-009702</t>
  </si>
  <si>
    <t>FMCG-2025-009715</t>
  </si>
  <si>
    <t>FMCG-2025-009732</t>
  </si>
  <si>
    <t>FMCG-2025-009733</t>
  </si>
  <si>
    <t>FMCG-2025-009735</t>
  </si>
  <si>
    <t>FMCG-2025-009736</t>
  </si>
  <si>
    <t>FMCG-2025-009760</t>
  </si>
  <si>
    <t>FMCG-2025-009832</t>
  </si>
  <si>
    <t>FMCG-2025-009844</t>
  </si>
  <si>
    <t>FMCG-2025-009883</t>
  </si>
  <si>
    <t>FMCG-2025-009976</t>
  </si>
  <si>
    <t>FMCG-2025-009977</t>
  </si>
  <si>
    <t>FMCG-2025-010010</t>
  </si>
  <si>
    <t>FMCG-2025-010027</t>
  </si>
  <si>
    <t>FMCG-2025-010060</t>
  </si>
  <si>
    <t>FMCG-2025-010136</t>
  </si>
  <si>
    <t>FMCG-2025-010147</t>
  </si>
  <si>
    <t>FMCG-2025-010168</t>
  </si>
  <si>
    <t>FMCG-2025-010207</t>
  </si>
  <si>
    <t>FMCG-2025-010238</t>
  </si>
  <si>
    <t>FMCG-2025-010262</t>
  </si>
  <si>
    <t>FMCG-2025-010266</t>
  </si>
  <si>
    <t>FMCG-2025-010282</t>
  </si>
  <si>
    <t>FMCG-2025-010327</t>
  </si>
  <si>
    <t>FMCG-2025-010347</t>
  </si>
  <si>
    <t>FMCG-2025-010377</t>
  </si>
  <si>
    <t>FMCG-2025-010397</t>
  </si>
  <si>
    <t>FMCG-2025-010413</t>
  </si>
  <si>
    <t>FMCG-2025-010457</t>
  </si>
  <si>
    <t>FMCG-2025-010512</t>
  </si>
  <si>
    <t>FMCG-2025-010538</t>
  </si>
  <si>
    <t>FMCG-2025-010568</t>
  </si>
  <si>
    <t>FMCG-2025-010570</t>
  </si>
  <si>
    <t>FMCG-2025-010580</t>
  </si>
  <si>
    <t>FMCG-2025-010589</t>
  </si>
  <si>
    <t>FMCG-2025-010693</t>
  </si>
  <si>
    <t>FMCG-2025-010746</t>
  </si>
  <si>
    <t>FMCG-2025-010747</t>
  </si>
  <si>
    <t>FMCG-2025-010788</t>
  </si>
  <si>
    <t>FMCG-2025-010808</t>
  </si>
  <si>
    <t>FMCG-2025-010833</t>
  </si>
  <si>
    <t>FMCG-2025-010834</t>
  </si>
  <si>
    <t>FMCG-2025-010838</t>
  </si>
  <si>
    <t>FMCG-2025-010881</t>
  </si>
  <si>
    <t>FMCG-2025-010931</t>
  </si>
  <si>
    <t>FMCG-2025-010943</t>
  </si>
  <si>
    <t>FMCG-2025-010960</t>
  </si>
  <si>
    <t>FMCG-2025-011002</t>
  </si>
  <si>
    <t>FMCG-2025-011078</t>
  </si>
  <si>
    <t>FMCG-2025-011109</t>
  </si>
  <si>
    <t>FMCG-2025-011145</t>
  </si>
  <si>
    <t>FMCG-2025-011186</t>
  </si>
  <si>
    <t>FMCG-2025-011187</t>
  </si>
  <si>
    <t>FMCG-2025-011225</t>
  </si>
  <si>
    <t>FMCG-2025-011232</t>
  </si>
  <si>
    <t>FMCG-2025-011267</t>
  </si>
  <si>
    <t>FMCG-2025-011315</t>
  </si>
  <si>
    <t>FMCG-2025-011338</t>
  </si>
  <si>
    <t>FMCG-2025-011351</t>
  </si>
  <si>
    <t>FMCG-2025-011477</t>
  </si>
  <si>
    <t>FMCG-2025-011492</t>
  </si>
  <si>
    <t>FMCG-2025-011527</t>
  </si>
  <si>
    <t>FMCG-2025-011534</t>
  </si>
  <si>
    <t>FMCG-2025-011579</t>
  </si>
  <si>
    <t>FMCG-2025-011581</t>
  </si>
  <si>
    <t>FMCG-2025-011635</t>
  </si>
  <si>
    <t>FMCG-2025-011703</t>
  </si>
  <si>
    <t>FMCG-2025-011721</t>
  </si>
  <si>
    <t>FMCG-2025-011784</t>
  </si>
  <si>
    <t>FMCG-2025-011885</t>
  </si>
  <si>
    <t>FMCG-2025-011931</t>
  </si>
  <si>
    <t>FMCG-2025-011943</t>
  </si>
  <si>
    <t>FMCG-2025-011969</t>
  </si>
  <si>
    <t>FMCG-2025-011977</t>
  </si>
  <si>
    <t>FMCG-2025-011986</t>
  </si>
  <si>
    <t>FMCG-2025-012143</t>
  </si>
  <si>
    <t>FMCG-2025-012165</t>
  </si>
  <si>
    <t>FMCG-2025-012238</t>
  </si>
  <si>
    <t>FMCG-2025-012241</t>
  </si>
  <si>
    <t>FMCG-2025-012245</t>
  </si>
  <si>
    <t>FMCG-2025-012274</t>
  </si>
  <si>
    <t>FMCG-2025-012338</t>
  </si>
  <si>
    <t>FMCG-2025-012343</t>
  </si>
  <si>
    <t>FMCG-2025-012345</t>
  </si>
  <si>
    <t>FMCG-2025-012418</t>
  </si>
  <si>
    <t>FMCG-2025-012432</t>
  </si>
  <si>
    <t>FMCG-2025-012462</t>
  </si>
  <si>
    <t>FMCG-2025-012478</t>
  </si>
  <si>
    <t>FMCG-2025-012498</t>
  </si>
  <si>
    <t>FMCG-2025-012499</t>
  </si>
  <si>
    <t>FMCG-2025-012523</t>
  </si>
  <si>
    <t>FMCG-2025-012538</t>
  </si>
  <si>
    <t>FMCG-2025-012543</t>
  </si>
  <si>
    <t>FMCG-2025-012577</t>
  </si>
  <si>
    <t>FMCG-2025-012621</t>
  </si>
  <si>
    <t>FMCG-2025-012657</t>
  </si>
  <si>
    <t>FMCG-2025-012690</t>
  </si>
  <si>
    <t>FMCG-2025-012726</t>
  </si>
  <si>
    <t>FMCG-2025-012739</t>
  </si>
  <si>
    <t>FMCG-2025-012770</t>
  </si>
  <si>
    <t>FMCG-2025-012787</t>
  </si>
  <si>
    <t>FMCG-2025-012819</t>
  </si>
  <si>
    <t>FMCG-2025-012830</t>
  </si>
  <si>
    <t>FMCG-2025-012837</t>
  </si>
  <si>
    <t>FMCG-2025-012851</t>
  </si>
  <si>
    <t>FMCG-2025-012854</t>
  </si>
  <si>
    <t>FMCG-2025-012870</t>
  </si>
  <si>
    <t>FMCG-2025-012915</t>
  </si>
  <si>
    <t>FMCG-2025-012955</t>
  </si>
  <si>
    <t>FMCG-2025-013106</t>
  </si>
  <si>
    <t>FMCG-2025-013140</t>
  </si>
  <si>
    <t>FMCG-2025-013156</t>
  </si>
  <si>
    <t>FMCG-2025-013168</t>
  </si>
  <si>
    <t>FMCG-2025-013246</t>
  </si>
  <si>
    <t>FMCG-2025-013278</t>
  </si>
  <si>
    <t>FMCG-2025-013323</t>
  </si>
  <si>
    <t>FMCG-2025-013325</t>
  </si>
  <si>
    <t>FMCG-2025-013388</t>
  </si>
  <si>
    <t>FMCG-2025-013390</t>
  </si>
  <si>
    <t>FMCG-2025-013435</t>
  </si>
  <si>
    <t>FMCG-2025-013522</t>
  </si>
  <si>
    <t>FMCG-2025-013531</t>
  </si>
  <si>
    <t>FMCG-2025-013560</t>
  </si>
  <si>
    <t>FMCG-2025-013636</t>
  </si>
  <si>
    <t>FMCG-2025-013657</t>
  </si>
  <si>
    <t>FMCG-2025-013678</t>
  </si>
  <si>
    <t>FMCG-2025-013688</t>
  </si>
  <si>
    <t>FMCG-2025-013720</t>
  </si>
  <si>
    <t>FMCG-2025-013751</t>
  </si>
  <si>
    <t>FMCG-2025-013772</t>
  </si>
  <si>
    <t>FMCG-2025-013791</t>
  </si>
  <si>
    <t>FMCG-2025-013802</t>
  </si>
  <si>
    <t>FMCG-2025-013803</t>
  </si>
  <si>
    <t>FMCG-2025-013932</t>
  </si>
  <si>
    <t>FMCG-2025-013933</t>
  </si>
  <si>
    <t>FMCG-2025-013964</t>
  </si>
  <si>
    <t>FMCG-2025-013969</t>
  </si>
  <si>
    <t>FMCG-2025-013988</t>
  </si>
  <si>
    <t>FMCG-2025-013995</t>
  </si>
  <si>
    <t>FMCG-2025-014031</t>
  </si>
  <si>
    <t>FMCG-2025-014070</t>
  </si>
  <si>
    <t>FMCG-2025-014071</t>
  </si>
  <si>
    <t>FMCG-2025-014125</t>
  </si>
  <si>
    <t>FMCG-2025-014129</t>
  </si>
  <si>
    <t>FMCG-2025-014143</t>
  </si>
  <si>
    <t>FMCG-2025-014191</t>
  </si>
  <si>
    <t>FMCG-2025-014219</t>
  </si>
  <si>
    <t>FMCG-2025-014247</t>
  </si>
  <si>
    <t>FMCG-2025-014251</t>
  </si>
  <si>
    <t>FMCG-2025-014254</t>
  </si>
  <si>
    <t>FMCG-2025-014281</t>
  </si>
  <si>
    <t>FMCG-2025-014285</t>
  </si>
  <si>
    <t>FMCG-2025-014302</t>
  </si>
  <si>
    <t>FMCG-2025-014343</t>
  </si>
  <si>
    <t>FMCG-2025-014367</t>
  </si>
  <si>
    <t>FMCG-2025-014393</t>
  </si>
  <si>
    <t>FMCG-2025-014406</t>
  </si>
  <si>
    <t>FMCG-2025-014411</t>
  </si>
  <si>
    <t>FMCG-2025-014501</t>
  </si>
  <si>
    <t>FMCG-2025-014528</t>
  </si>
  <si>
    <t>FMCG-2025-014573</t>
  </si>
  <si>
    <t>FMCG-2025-014626</t>
  </si>
  <si>
    <t>FMCG-2025-014629</t>
  </si>
  <si>
    <t>FMCG-2025-014633</t>
  </si>
  <si>
    <t>FMCG-2025-014637</t>
  </si>
  <si>
    <t>FMCG-2025-014651</t>
  </si>
  <si>
    <t>FMCG-2025-014698</t>
  </si>
  <si>
    <t>FMCG-2025-014773</t>
  </si>
  <si>
    <t>FMCG-2025-014786</t>
  </si>
  <si>
    <t>FMCG-2025-014808</t>
  </si>
  <si>
    <t>FMCG-2025-014862</t>
  </si>
  <si>
    <t>FMCG-2025-014869</t>
  </si>
  <si>
    <t>FMCG-2025-014890</t>
  </si>
  <si>
    <t>FMCG-2025-014893</t>
  </si>
  <si>
    <t>FMCG-2025-014965</t>
  </si>
  <si>
    <t>FMCG-2025-014990</t>
  </si>
  <si>
    <t>FMCG-2025-014995</t>
  </si>
  <si>
    <t>FMCG-2025-015082</t>
  </si>
  <si>
    <t>FMCG-2025-015116</t>
  </si>
  <si>
    <t>FMCG-2025-015181</t>
  </si>
  <si>
    <t>FMCG-2025-015192</t>
  </si>
  <si>
    <t>FMCG-2025-015193</t>
  </si>
  <si>
    <t>FMCG-2025-015203</t>
  </si>
  <si>
    <t>FMCG-2025-015216</t>
  </si>
  <si>
    <t>FMCG-2025-015237</t>
  </si>
  <si>
    <t>FMCG-2025-015257</t>
  </si>
  <si>
    <t>FMCG-2025-015265</t>
  </si>
  <si>
    <t>FMCG-2025-015370</t>
  </si>
  <si>
    <t>FMCG-2025-015409</t>
  </si>
  <si>
    <t>FMCG-2025-015410</t>
  </si>
  <si>
    <t>FMCG-2025-015419</t>
  </si>
  <si>
    <t>FMCG-2025-015440</t>
  </si>
  <si>
    <t>FMCG-2025-015576</t>
  </si>
  <si>
    <t>FMCG-2025-015597</t>
  </si>
  <si>
    <t>FMCG-2025-015695</t>
  </si>
  <si>
    <t>FMCG-2025-015722</t>
  </si>
  <si>
    <t>FMCG-2025-015754</t>
  </si>
  <si>
    <t>FMCG-2025-015799</t>
  </si>
  <si>
    <t>FMCG-2025-015815</t>
  </si>
  <si>
    <t>FMCG-2025-015923</t>
  </si>
  <si>
    <t>FMCG-2025-015956</t>
  </si>
  <si>
    <t>FMCG-2025-016004</t>
  </si>
  <si>
    <t>FMCG-2025-016054</t>
  </si>
  <si>
    <t>FMCG-2025-016134</t>
  </si>
  <si>
    <t>FMCG-2025-016147</t>
  </si>
  <si>
    <t>FMCG-2025-016188</t>
  </si>
  <si>
    <t>FMCG-2025-016251</t>
  </si>
  <si>
    <t>FMCG-2025-016276</t>
  </si>
  <si>
    <t>FMCG-2025-016391</t>
  </si>
  <si>
    <t>FMCG-2025-016442</t>
  </si>
  <si>
    <t>FMCG-2025-016448</t>
  </si>
  <si>
    <t>FMCG-2025-016477</t>
  </si>
  <si>
    <t>FMCG-2025-016519</t>
  </si>
  <si>
    <t>FMCG-2025-016520</t>
  </si>
  <si>
    <t>FMCG-2025-016524</t>
  </si>
  <si>
    <t>FMCG-2025-016535</t>
  </si>
  <si>
    <t>FMCG-2025-016612</t>
  </si>
  <si>
    <t>FMCG-2025-016635</t>
  </si>
  <si>
    <t>FMCG-2025-016652</t>
  </si>
  <si>
    <t>FMCG-2025-016662</t>
  </si>
  <si>
    <t>FMCG-2025-016668</t>
  </si>
  <si>
    <t>FMCG-2025-016682</t>
  </si>
  <si>
    <t>FMCG-2025-016683</t>
  </si>
  <si>
    <t>FMCG-2025-016750</t>
  </si>
  <si>
    <t>FMCG-2025-016782</t>
  </si>
  <si>
    <t>FMCG-2025-016826</t>
  </si>
  <si>
    <t>FMCG-2025-016830</t>
  </si>
  <si>
    <t>FMCG-2025-016874</t>
  </si>
  <si>
    <t>FMCG-2025-016884</t>
  </si>
  <si>
    <t>FMCG-2025-016905</t>
  </si>
  <si>
    <t>FMCG-2025-016924</t>
  </si>
  <si>
    <t>FMCG-2025-016929</t>
  </si>
  <si>
    <t>FMCG-2025-017005</t>
  </si>
  <si>
    <t>FMCG-2025-017010</t>
  </si>
  <si>
    <t>FMCG-2025-017034</t>
  </si>
  <si>
    <t>FMCG-2025-017041</t>
  </si>
  <si>
    <t>FMCG-2025-017042</t>
  </si>
  <si>
    <t>FMCG-2025-017046</t>
  </si>
  <si>
    <t>FMCG-2025-017075</t>
  </si>
  <si>
    <t>FMCG-2025-017077</t>
  </si>
  <si>
    <t>FMCG-2025-017100</t>
  </si>
  <si>
    <t>FMCG-2025-017104</t>
  </si>
  <si>
    <t>FMCG-2025-017119</t>
  </si>
  <si>
    <t>FMCG-2025-017169</t>
  </si>
  <si>
    <t>FMCG-2025-017174</t>
  </si>
  <si>
    <t>FMCG-2025-017176</t>
  </si>
  <si>
    <t>FMCG-2025-017194</t>
  </si>
  <si>
    <t>FMCG-2025-017212</t>
  </si>
  <si>
    <t>FMCG-2025-017245</t>
  </si>
  <si>
    <t>FMCG-2025-017259</t>
  </si>
  <si>
    <t>FMCG-2025-017288</t>
  </si>
  <si>
    <t>FMCG-2025-017303</t>
  </si>
  <si>
    <t>FMCG-2025-017342</t>
  </si>
  <si>
    <t>FMCG-2025-017364</t>
  </si>
  <si>
    <t>FMCG-2025-017368</t>
  </si>
  <si>
    <t>FMCG-2025-017397</t>
  </si>
  <si>
    <t>FMCG-2025-017433</t>
  </si>
  <si>
    <t>FMCG-2025-017453</t>
  </si>
  <si>
    <t>FMCG-2025-017478</t>
  </si>
  <si>
    <t>FMCG-2025-017512</t>
  </si>
  <si>
    <t>FMCG-2025-017530</t>
  </si>
  <si>
    <t>FMCG-2025-017544</t>
  </si>
  <si>
    <t>FMCG-2025-017545</t>
  </si>
  <si>
    <t>FMCG-2025-017671</t>
  </si>
  <si>
    <t>FMCG-2025-017680</t>
  </si>
  <si>
    <t>FMCG-2025-017749</t>
  </si>
  <si>
    <t>FMCG-2025-017780</t>
  </si>
  <si>
    <t>FMCG-2025-017798</t>
  </si>
  <si>
    <t>FMCG-2025-017818</t>
  </si>
  <si>
    <t>FMCG-2025-017834</t>
  </si>
  <si>
    <t>FMCG-2025-017844</t>
  </si>
  <si>
    <t>FMCG-2025-017912</t>
  </si>
  <si>
    <t>FMCG-2025-018037</t>
  </si>
  <si>
    <t>FMCG-2025-018041</t>
  </si>
  <si>
    <t>FMCG-2025-018057</t>
  </si>
  <si>
    <t>FMCG-2025-018089</t>
  </si>
  <si>
    <t>FMCG-2025-018108</t>
  </si>
  <si>
    <t>FMCG-2025-018111</t>
  </si>
  <si>
    <t>FMCG-2025-018221</t>
  </si>
  <si>
    <t>FMCG-2025-018233</t>
  </si>
  <si>
    <t>SR.NO</t>
  </si>
  <si>
    <t>South</t>
  </si>
  <si>
    <t>West</t>
  </si>
  <si>
    <t>North</t>
  </si>
  <si>
    <t>Unit_Price_INR</t>
  </si>
  <si>
    <t>Gross_Sales_INR</t>
  </si>
  <si>
    <t>Marketing_Spend_INR</t>
  </si>
  <si>
    <t>COGS_INR</t>
  </si>
  <si>
    <t>Logistics_Cost_INR</t>
  </si>
  <si>
    <t>Net_Revenue_INR</t>
  </si>
  <si>
    <t>Profit_INR</t>
  </si>
  <si>
    <t>Net Revenue INR</t>
  </si>
  <si>
    <t xml:space="preserve">Total Profit INR </t>
  </si>
  <si>
    <t>No. Of Units Sold</t>
  </si>
  <si>
    <t>Profit Margin</t>
  </si>
  <si>
    <t>KPIs</t>
  </si>
  <si>
    <t>Questions</t>
  </si>
  <si>
    <t>How does revenue and profit change over time (monthly)?</t>
  </si>
  <si>
    <t>Which sales channels contribute most to revenue and profit?</t>
  </si>
  <si>
    <t>Which channel is most efficient in terms of profit margin and cost structure?</t>
  </si>
  <si>
    <t>Which categories are most profitable vs most efficient (high margin)?</t>
  </si>
  <si>
    <t>Do promotions actually improve revenue and profitability?</t>
  </si>
  <si>
    <t>How much of revenue is spent on COGS, marketing, and logistics?</t>
  </si>
  <si>
    <t>Do higher orders/units actually lead to higher revenue and profit?</t>
  </si>
  <si>
    <t>Which products are top performers and which are underperforming?</t>
  </si>
  <si>
    <t>Sum of Units_Sold</t>
  </si>
  <si>
    <t>Sum of Net_Revenue_INR</t>
  </si>
  <si>
    <t>Sum of Profit_INR</t>
  </si>
  <si>
    <t>Sum of Field1</t>
  </si>
  <si>
    <t>Net Revenue</t>
  </si>
  <si>
    <t>Profit</t>
  </si>
  <si>
    <t xml:space="preserve">units sold </t>
  </si>
  <si>
    <t>Row Labels</t>
  </si>
  <si>
    <t>Grand Total</t>
  </si>
  <si>
    <t>Jan</t>
  </si>
  <si>
    <t>Feb</t>
  </si>
  <si>
    <t>Mar</t>
  </si>
  <si>
    <t>Apr</t>
  </si>
  <si>
    <t>Jun</t>
  </si>
  <si>
    <t>Jul</t>
  </si>
  <si>
    <t>Aug</t>
  </si>
  <si>
    <t>Sep</t>
  </si>
  <si>
    <t>Oct</t>
  </si>
  <si>
    <t>Nov</t>
  </si>
  <si>
    <t>Dec</t>
  </si>
  <si>
    <t>Sum of Marketing_Spend_INR</t>
  </si>
  <si>
    <t>Sum of Logistics_Cost_INR</t>
  </si>
  <si>
    <t>Sum of Marketing%</t>
  </si>
  <si>
    <t>Sum of Logistics%</t>
  </si>
  <si>
    <t>Sum of Margin</t>
  </si>
  <si>
    <t>Column1</t>
  </si>
  <si>
    <t>Column2</t>
  </si>
  <si>
    <t>Total_Profit_INR</t>
  </si>
  <si>
    <t>Total_Revenue_INR</t>
  </si>
  <si>
    <t>Logistics cost%</t>
  </si>
  <si>
    <t>Marketing cost%</t>
  </si>
  <si>
    <t>Discount %</t>
  </si>
  <si>
    <t>Units Sold</t>
  </si>
  <si>
    <t>Revenue</t>
  </si>
  <si>
    <t>Sum of COGS %</t>
  </si>
  <si>
    <t>Marketing %</t>
  </si>
  <si>
    <t>COGS %</t>
  </si>
  <si>
    <t>Logistics %</t>
  </si>
  <si>
    <t>Products</t>
  </si>
  <si>
    <t>Units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</si>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</sst>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quot;K&quot;"/>
  </numFmts>
  <fonts count="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4"/>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2" fontId="0" fillId="0" borderId="0" xfId="0" applyNumberFormat="1"/>
    <xf numFmtId="10" fontId="0" fillId="0" borderId="0" xfId="1" applyNumberFormat="1" applyFont="1"/>
    <xf numFmtId="10" fontId="0" fillId="0" borderId="0" xfId="0" applyNumberFormat="1"/>
    <xf numFmtId="49" fontId="0" fillId="0" borderId="0" xfId="0" applyNumberFormat="1"/>
    <xf numFmtId="0" fontId="4" fillId="2" borderId="0" xfId="0" applyFont="1" applyFill="1"/>
    <xf numFmtId="0" fontId="4" fillId="0" borderId="0" xfId="0" applyFont="1"/>
    <xf numFmtId="0" fontId="0" fillId="0" borderId="0" xfId="0" pivotButton="1"/>
    <xf numFmtId="0" fontId="0" fillId="0" borderId="0" xfId="0" applyAlignment="1">
      <alignment horizontal="left"/>
    </xf>
    <xf numFmtId="0" fontId="3" fillId="3" borderId="1" xfId="0" applyFont="1" applyFill="1" applyBorder="1"/>
    <xf numFmtId="1" fontId="0" fillId="0" borderId="0" xfId="0" applyNumberFormat="1"/>
    <xf numFmtId="165" fontId="0" fillId="0" borderId="0" xfId="0" applyNumberFormat="1"/>
    <xf numFmtId="9" fontId="0" fillId="0" borderId="0" xfId="0" applyNumberFormat="1"/>
  </cellXfs>
  <cellStyles count="2">
    <cellStyle name="Normal" xfId="0" builtinId="0"/>
    <cellStyle name="Percent" xfId="1" builtinId="5"/>
  </cellStyles>
  <dxfs count="70">
    <dxf>
      <font>
        <b val="0"/>
        <i val="0"/>
        <strike val="0"/>
        <condense val="0"/>
        <extend val="0"/>
        <outline val="0"/>
        <shadow val="0"/>
        <u val="none"/>
        <vertAlign val="baseline"/>
        <sz val="11"/>
        <color theme="1"/>
        <name val="Calibri"/>
        <family val="2"/>
        <scheme val="minor"/>
      </font>
      <numFmt numFmtId="14" formatCode="0.00%"/>
    </dxf>
    <dxf>
      <numFmt numFmtId="14"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64" formatCode="&quot;₹&quot;\ #,##0.00"/>
    </dxf>
    <dxf>
      <numFmt numFmtId="164" formatCode="&quot;₹&quot;\ #,##0.00"/>
    </dxf>
    <dxf>
      <numFmt numFmtId="2" formatCode="0.0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numFmt numFmtId="19" formatCode="dd/mm/yyyy"/>
    </dxf>
    <dxf>
      <numFmt numFmtId="0" formatCode="General"/>
    </dxf>
    <dxf>
      <numFmt numFmtId="0" formatCode="General"/>
    </dxf>
    <dxf>
      <numFmt numFmtId="164" formatCode="&quot;₹&quot;\ #,##0.00"/>
    </dxf>
    <dxf>
      <fill>
        <patternFill patternType="solid">
          <fgColor theme="4" tint="0.79998168889431442"/>
          <bgColor theme="4"/>
        </patternFill>
      </fill>
    </dxf>
    <dxf>
      <numFmt numFmtId="164" formatCode="&quot;₹&quot;\ #,##0.00"/>
    </dxf>
    <dxf>
      <numFmt numFmtId="1" formatCode="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patternFill>
      </fill>
    </dxf>
    <dxf>
      <numFmt numFmtId="14" formatCode="0.00%"/>
    </dxf>
    <dxf>
      <font>
        <strike val="0"/>
        <outline val="0"/>
        <shadow val="0"/>
        <u val="none"/>
        <vertAlign val="baseline"/>
        <sz val="11"/>
        <color theme="1"/>
        <name val="Calibri"/>
        <family val="2"/>
        <scheme val="minor"/>
      </font>
    </dxf>
    <dxf>
      <numFmt numFmtId="13" formatCode="0%"/>
    </dxf>
    <dxf>
      <numFmt numFmtId="13" formatCode="0%"/>
    </dxf>
    <dxf>
      <numFmt numFmtId="13" formatCode="0%"/>
    </dxf>
    <dxf>
      <numFmt numFmtId="0" formatCode="General"/>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patternFill>
      </fill>
    </dxf>
    <dxf>
      <numFmt numFmtId="14" formatCode="0.00%"/>
    </dxf>
    <dxf>
      <numFmt numFmtId="14" formatCode="0.00%"/>
    </dxf>
    <dxf>
      <numFmt numFmtId="164" formatCode="&quot;₹&quot;\ #,##0.00"/>
    </dxf>
    <dxf>
      <numFmt numFmtId="13" formatCode="0%"/>
    </dxf>
    <dxf>
      <numFmt numFmtId="14" formatCode="0.00%"/>
    </dxf>
    <dxf>
      <numFmt numFmtId="164" formatCode="&quot;₹&quot;\ #,##0.00"/>
    </dxf>
    <dxf>
      <numFmt numFmtId="13" formatCode="0%"/>
    </dxf>
    <dxf>
      <numFmt numFmtId="14" formatCode="0.00%"/>
    </dxf>
    <dxf>
      <numFmt numFmtId="164" formatCode="&quot;₹&quot;\ #,##0.00"/>
    </dxf>
    <dxf>
      <numFmt numFmtId="165" formatCode="&quot;₹&quot;\ #,##0,&quot;K&quot;"/>
    </dxf>
    <dxf>
      <numFmt numFmtId="13" formatCode="0%"/>
    </dxf>
    <dxf>
      <numFmt numFmtId="14" formatCode="0.00%"/>
    </dxf>
    <dxf>
      <numFmt numFmtId="14" formatCode="0.00%"/>
    </dxf>
    <dxf>
      <numFmt numFmtId="164" formatCode="&quot;₹&quot;\ #,##0.00"/>
    </dxf>
    <dxf>
      <numFmt numFmtId="13" formatCode="0%"/>
    </dxf>
    <dxf>
      <numFmt numFmtId="164" formatCode="&quot;₹&quot;\ #,##0.00"/>
    </dxf>
    <dxf>
      <numFmt numFmtId="165" formatCode="&quot;₹&quot;\ #,##0,&quot;K&quot;"/>
    </dxf>
    <dxf>
      <fill>
        <patternFill>
          <fgColor theme="0" tint="-4.9989318521683403E-2"/>
          <bgColor theme="0"/>
        </patternFill>
      </fill>
    </dxf>
  </dxfs>
  <tableStyles count="2" defaultTableStyle="TableStyleMedium2" defaultPivotStyle="PivotStyleLight16">
    <tableStyle name="Slicer Style 1" pivot="0" table="0" count="1" xr9:uid="{9EC9A4F3-AD29-4647-A357-3CCFC5864580}">
      <tableStyleElement type="wholeTable" dxfId="69"/>
    </tableStyle>
    <tableStyle name="Slicer Style 2" pivot="0" table="0" count="1" xr9:uid="{CFAA1906-30F5-449A-B2AD-3418B38E10C3}"/>
  </tableStyles>
  <colors>
    <mruColors>
      <color rgb="FF6B7280"/>
      <color rgb="FFFFFFFF"/>
      <color rgb="FF111827"/>
      <color rgb="FF1F2937"/>
      <color rgb="FFD6E4FF"/>
      <color rgb="FFF5F7FA"/>
      <color rgb="FFF5FAFD"/>
      <color rgb="FF648ACE"/>
      <color rgb="FFBFD8EF"/>
      <color rgb="FF9BC2E5"/>
    </mruColors>
  </colors>
  <extLst>
    <ext xmlns:x14="http://schemas.microsoft.com/office/spreadsheetml/2009/9/main" uri="{46F421CA-312F-682f-3DD2-61675219B42D}">
      <x14:dxfs count="1">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[FMCG_Sales_&amp;_Profitability Dashboard.xlsx]Pivots!monthly analysis</c:name>
    <c:fmtId val="4"/>
  </c:pivotSource>
  <c:chart>
    <c:title>
      <c:tx>
        <c:rich>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r>
              <a:rPr lang="en-IN" sz="900" b="1">
                <a:solidFill>
                  <a:schemeClr val="tx1"/>
                </a:solidFill>
              </a:rPr>
              <a:t>Monthly Trend</a:t>
            </a:r>
          </a:p>
        </c:rich>
      </c:tx>
      <c:layout>
        <c:manualLayout>
          <c:xMode val="edge"/>
          <c:yMode val="edge"/>
          <c:x val="0.24645553075336368"/>
          <c:y val="3.2085534476791043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1171015562697"/>
          <c:y val="0.13612982767288923"/>
          <c:w val="0.83514184261326108"/>
          <c:h val="0.66089569169591"/>
        </c:manualLayout>
      </c:layout>
      <c:barChart>
        <c:barDir val="col"/>
        <c:grouping val="clustered"/>
        <c:varyColors val="0"/>
        <c:ser>
          <c:idx val="0"/>
          <c:order val="0"/>
          <c:tx>
            <c:strRef>
              <c:f>Pivots!$B$10</c:f>
              <c:strCache>
                <c:ptCount val="1"/>
                <c:pt idx="0">
                  <c:v>Total_Revenue_INR</c:v>
                </c:pt>
              </c:strCache>
            </c:strRef>
          </c:tx>
          <c:spPr>
            <a:solidFill>
              <a:schemeClr val="accent1"/>
            </a:solidFill>
            <a:ln>
              <a:noFill/>
            </a:ln>
            <a:effectLst/>
          </c:spPr>
          <c:invertIfNegative val="0"/>
          <c:cat>
            <c:strRef>
              <c:f>Pivots!$A$11:$A$23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Pivots!$B$11:$B$23</c:f>
              <c:numCache>
                <c:formatCode>"₹"\ #,##0.00</c:formatCode>
                <c:ptCount val="12"/>
                <c:pt idx="0">
                  <c:v>795055.48041499988</c:v>
                </c:pt>
                <c:pt idx="1">
                  <c:v>970148.02461499989</c:v>
                </c:pt>
                <c:pt idx="2">
                  <c:v>1331475.6106400003</c:v>
                </c:pt>
                <c:pt idx="3">
                  <c:v>1337486.5194599999</c:v>
                </c:pt>
                <c:pt idx="4">
                  <c:v>1143231.4582850006</c:v>
                </c:pt>
                <c:pt idx="5">
                  <c:v>1320423.2192900004</c:v>
                </c:pt>
                <c:pt idx="6">
                  <c:v>443642.32871000003</c:v>
                </c:pt>
                <c:pt idx="7">
                  <c:v>1078051.3881550003</c:v>
                </c:pt>
                <c:pt idx="8">
                  <c:v>1092989.9384949997</c:v>
                </c:pt>
                <c:pt idx="9">
                  <c:v>1090244.8240599998</c:v>
                </c:pt>
                <c:pt idx="10">
                  <c:v>1047895.5992749999</c:v>
                </c:pt>
                <c:pt idx="11">
                  <c:v>1038146.9701750004</c:v>
                </c:pt>
              </c:numCache>
            </c:numRef>
          </c:val>
          <c:extLst>
            <c:ext xmlns:c16="http://schemas.microsoft.com/office/drawing/2014/chart" uri="{C3380CC4-5D6E-409C-BE32-E72D297353CC}">
              <c16:uniqueId val="{00000000-C1F5-494F-9696-A6301706CD53}"/>
            </c:ext>
          </c:extLst>
        </c:ser>
        <c:ser>
          <c:idx val="1"/>
          <c:order val="1"/>
          <c:tx>
            <c:strRef>
              <c:f>Pivots!$C$10</c:f>
              <c:strCache>
                <c:ptCount val="1"/>
                <c:pt idx="0">
                  <c:v>Total_Profit_INR</c:v>
                </c:pt>
              </c:strCache>
            </c:strRef>
          </c:tx>
          <c:spPr>
            <a:solidFill>
              <a:schemeClr val="accent2"/>
            </a:solidFill>
            <a:ln>
              <a:noFill/>
            </a:ln>
            <a:effectLst/>
          </c:spPr>
          <c:invertIfNegative val="0"/>
          <c:cat>
            <c:strRef>
              <c:f>Pivots!$A$11:$A$23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Pivots!$C$11:$C$23</c:f>
              <c:numCache>
                <c:formatCode>"₹"\ #,##0.00</c:formatCode>
                <c:ptCount val="12"/>
                <c:pt idx="0">
                  <c:v>191618.03041500007</c:v>
                </c:pt>
                <c:pt idx="1">
                  <c:v>242048.97461500004</c:v>
                </c:pt>
                <c:pt idx="2">
                  <c:v>319125.81063999992</c:v>
                </c:pt>
                <c:pt idx="3">
                  <c:v>357973.71945999999</c:v>
                </c:pt>
                <c:pt idx="4">
                  <c:v>292501.15828500007</c:v>
                </c:pt>
                <c:pt idx="5">
                  <c:v>282582.91929000005</c:v>
                </c:pt>
                <c:pt idx="6">
                  <c:v>109209.62871</c:v>
                </c:pt>
                <c:pt idx="7">
                  <c:v>274742.23815500003</c:v>
                </c:pt>
                <c:pt idx="8">
                  <c:v>271572.13849500008</c:v>
                </c:pt>
                <c:pt idx="9">
                  <c:v>263883.97406000004</c:v>
                </c:pt>
                <c:pt idx="10">
                  <c:v>242102.14927500006</c:v>
                </c:pt>
                <c:pt idx="11">
                  <c:v>246588.72017500005</c:v>
                </c:pt>
              </c:numCache>
            </c:numRef>
          </c:val>
          <c:extLst>
            <c:ext xmlns:c16="http://schemas.microsoft.com/office/drawing/2014/chart" uri="{C3380CC4-5D6E-409C-BE32-E72D297353CC}">
              <c16:uniqueId val="{00000001-C1F5-494F-9696-A6301706CD53}"/>
            </c:ext>
          </c:extLst>
        </c:ser>
        <c:dLbls>
          <c:showLegendKey val="0"/>
          <c:showVal val="0"/>
          <c:showCatName val="0"/>
          <c:showSerName val="0"/>
          <c:showPercent val="0"/>
          <c:showBubbleSize val="0"/>
        </c:dLbls>
        <c:gapWidth val="65"/>
        <c:overlap val="-15"/>
        <c:axId val="1940557535"/>
        <c:axId val="1940558015"/>
      </c:barChart>
      <c:catAx>
        <c:axId val="194055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0558015"/>
        <c:crosses val="autoZero"/>
        <c:auto val="1"/>
        <c:lblAlgn val="ctr"/>
        <c:lblOffset val="100"/>
        <c:noMultiLvlLbl val="0"/>
      </c:catAx>
      <c:valAx>
        <c:axId val="1940558015"/>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055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[FMCG_Sales_&amp;_Profitability Dashboard.xlsx]Pivots!cotegory wise sales</c:name>
    <c:fmtId val="31"/>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IN" sz="900"/>
              <a:t>Category Performance: Profit vs Margin</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7130696818297"/>
          <c:y val="0.17171296296296296"/>
          <c:w val="0.74704576170171955"/>
          <c:h val="0.60220637485713713"/>
        </c:manualLayout>
      </c:layout>
      <c:barChart>
        <c:barDir val="col"/>
        <c:grouping val="clustered"/>
        <c:varyColors val="0"/>
        <c:ser>
          <c:idx val="0"/>
          <c:order val="0"/>
          <c:tx>
            <c:strRef>
              <c:f>Pivots!$B$93</c:f>
              <c:strCache>
                <c:ptCount val="1"/>
                <c:pt idx="0">
                  <c:v>Revenue</c:v>
                </c:pt>
              </c:strCache>
            </c:strRef>
          </c:tx>
          <c:spPr>
            <a:solidFill>
              <a:schemeClr val="accent1"/>
            </a:solidFill>
            <a:ln>
              <a:noFill/>
            </a:ln>
            <a:effectLst/>
          </c:spPr>
          <c:invertIfNegative val="0"/>
          <c:cat>
            <c:strRef>
              <c:f>Pivots!$A$94:$A$99</c:f>
              <c:strCache>
                <c:ptCount val="5"/>
                <c:pt idx="0">
                  <c:v>Beverages</c:v>
                </c:pt>
                <c:pt idx="1">
                  <c:v>Snacks</c:v>
                </c:pt>
                <c:pt idx="2">
                  <c:v>Household</c:v>
                </c:pt>
                <c:pt idx="3">
                  <c:v>Dairy &amp; Breakfast</c:v>
                </c:pt>
                <c:pt idx="4">
                  <c:v>Personal Care</c:v>
                </c:pt>
              </c:strCache>
            </c:strRef>
          </c:cat>
          <c:val>
            <c:numRef>
              <c:f>Pivots!$B$94:$B$99</c:f>
              <c:numCache>
                <c:formatCode>"₹"\ #,##0.00</c:formatCode>
                <c:ptCount val="5"/>
                <c:pt idx="0">
                  <c:v>2798468.2550649988</c:v>
                </c:pt>
                <c:pt idx="1">
                  <c:v>2156072.562105001</c:v>
                </c:pt>
                <c:pt idx="2">
                  <c:v>3155342.8095699996</c:v>
                </c:pt>
                <c:pt idx="3">
                  <c:v>2365309.1330049997</c:v>
                </c:pt>
                <c:pt idx="4">
                  <c:v>2213598.6018299996</c:v>
                </c:pt>
              </c:numCache>
            </c:numRef>
          </c:val>
          <c:extLst>
            <c:ext xmlns:c16="http://schemas.microsoft.com/office/drawing/2014/chart" uri="{C3380CC4-5D6E-409C-BE32-E72D297353CC}">
              <c16:uniqueId val="{00000000-0436-47B7-9CD6-08FD8E60C0A9}"/>
            </c:ext>
          </c:extLst>
        </c:ser>
        <c:ser>
          <c:idx val="1"/>
          <c:order val="1"/>
          <c:tx>
            <c:strRef>
              <c:f>Pivots!$C$93</c:f>
              <c:strCache>
                <c:ptCount val="1"/>
                <c:pt idx="0">
                  <c:v>Profit</c:v>
                </c:pt>
              </c:strCache>
            </c:strRef>
          </c:tx>
          <c:spPr>
            <a:solidFill>
              <a:schemeClr val="accent2"/>
            </a:solidFill>
            <a:ln>
              <a:noFill/>
            </a:ln>
            <a:effectLst/>
          </c:spPr>
          <c:invertIfNegative val="0"/>
          <c:cat>
            <c:strRef>
              <c:f>Pivots!$A$94:$A$99</c:f>
              <c:strCache>
                <c:ptCount val="5"/>
                <c:pt idx="0">
                  <c:v>Beverages</c:v>
                </c:pt>
                <c:pt idx="1">
                  <c:v>Snacks</c:v>
                </c:pt>
                <c:pt idx="2">
                  <c:v>Household</c:v>
                </c:pt>
                <c:pt idx="3">
                  <c:v>Dairy &amp; Breakfast</c:v>
                </c:pt>
                <c:pt idx="4">
                  <c:v>Personal Care</c:v>
                </c:pt>
              </c:strCache>
            </c:strRef>
          </c:cat>
          <c:val>
            <c:numRef>
              <c:f>Pivots!$C$94:$C$99</c:f>
              <c:numCache>
                <c:formatCode>"₹"\ #,##0.00</c:formatCode>
                <c:ptCount val="5"/>
                <c:pt idx="0">
                  <c:v>394769.75506499998</c:v>
                </c:pt>
                <c:pt idx="1">
                  <c:v>512252.7621049998</c:v>
                </c:pt>
                <c:pt idx="2">
                  <c:v>885575.65957000002</c:v>
                </c:pt>
                <c:pt idx="3">
                  <c:v>668757.6330049996</c:v>
                </c:pt>
                <c:pt idx="4">
                  <c:v>632593.65183000022</c:v>
                </c:pt>
              </c:numCache>
            </c:numRef>
          </c:val>
          <c:extLst>
            <c:ext xmlns:c16="http://schemas.microsoft.com/office/drawing/2014/chart" uri="{C3380CC4-5D6E-409C-BE32-E72D297353CC}">
              <c16:uniqueId val="{00000001-0436-47B7-9CD6-08FD8E60C0A9}"/>
            </c:ext>
          </c:extLst>
        </c:ser>
        <c:dLbls>
          <c:showLegendKey val="0"/>
          <c:showVal val="0"/>
          <c:showCatName val="0"/>
          <c:showSerName val="0"/>
          <c:showPercent val="0"/>
          <c:showBubbleSize val="0"/>
        </c:dLbls>
        <c:gapWidth val="94"/>
        <c:overlap val="-6"/>
        <c:axId val="28124063"/>
        <c:axId val="28132223"/>
      </c:barChart>
      <c:lineChart>
        <c:grouping val="standard"/>
        <c:varyColors val="0"/>
        <c:ser>
          <c:idx val="2"/>
          <c:order val="2"/>
          <c:tx>
            <c:strRef>
              <c:f>Pivots!$D$93</c:f>
              <c:strCache>
                <c:ptCount val="1"/>
                <c:pt idx="0">
                  <c:v>Profit Margin</c:v>
                </c:pt>
              </c:strCache>
            </c:strRef>
          </c:tx>
          <c:spPr>
            <a:ln w="28575" cap="rnd">
              <a:solidFill>
                <a:schemeClr val="accent3"/>
              </a:solidFill>
              <a:round/>
            </a:ln>
            <a:effectLst/>
          </c:spPr>
          <c:marker>
            <c:symbol val="none"/>
          </c:marker>
          <c:cat>
            <c:strRef>
              <c:f>Pivots!$A$94:$A$99</c:f>
              <c:strCache>
                <c:ptCount val="5"/>
                <c:pt idx="0">
                  <c:v>Beverages</c:v>
                </c:pt>
                <c:pt idx="1">
                  <c:v>Snacks</c:v>
                </c:pt>
                <c:pt idx="2">
                  <c:v>Household</c:v>
                </c:pt>
                <c:pt idx="3">
                  <c:v>Dairy &amp; Breakfast</c:v>
                </c:pt>
                <c:pt idx="4">
                  <c:v>Personal Care</c:v>
                </c:pt>
              </c:strCache>
            </c:strRef>
          </c:cat>
          <c:val>
            <c:numRef>
              <c:f>Pivots!$D$94:$D$99</c:f>
              <c:numCache>
                <c:formatCode>0.00%</c:formatCode>
                <c:ptCount val="5"/>
                <c:pt idx="0">
                  <c:v>0.1410663688432052</c:v>
                </c:pt>
                <c:pt idx="1">
                  <c:v>0.23758604933262586</c:v>
                </c:pt>
                <c:pt idx="2">
                  <c:v>0.280659095703989</c:v>
                </c:pt>
                <c:pt idx="3">
                  <c:v>0.28273582665086089</c:v>
                </c:pt>
                <c:pt idx="4">
                  <c:v>0.28577613452910117</c:v>
                </c:pt>
              </c:numCache>
            </c:numRef>
          </c:val>
          <c:smooth val="0"/>
          <c:extLst>
            <c:ext xmlns:c16="http://schemas.microsoft.com/office/drawing/2014/chart" uri="{C3380CC4-5D6E-409C-BE32-E72D297353CC}">
              <c16:uniqueId val="{00000002-0436-47B7-9CD6-08FD8E60C0A9}"/>
            </c:ext>
          </c:extLst>
        </c:ser>
        <c:dLbls>
          <c:showLegendKey val="0"/>
          <c:showVal val="0"/>
          <c:showCatName val="0"/>
          <c:showSerName val="0"/>
          <c:showPercent val="0"/>
          <c:showBubbleSize val="0"/>
        </c:dLbls>
        <c:marker val="1"/>
        <c:smooth val="0"/>
        <c:axId val="1834137792"/>
        <c:axId val="1834153632"/>
      </c:lineChart>
      <c:catAx>
        <c:axId val="281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8132223"/>
        <c:crosses val="autoZero"/>
        <c:auto val="1"/>
        <c:lblAlgn val="ctr"/>
        <c:lblOffset val="100"/>
        <c:noMultiLvlLbl val="0"/>
      </c:catAx>
      <c:valAx>
        <c:axId val="28132223"/>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28124063"/>
        <c:crosses val="autoZero"/>
        <c:crossBetween val="between"/>
      </c:valAx>
      <c:valAx>
        <c:axId val="183415363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834137792"/>
        <c:crosses val="max"/>
        <c:crossBetween val="between"/>
      </c:valAx>
      <c:catAx>
        <c:axId val="1834137792"/>
        <c:scaling>
          <c:orientation val="minMax"/>
        </c:scaling>
        <c:delete val="1"/>
        <c:axPos val="b"/>
        <c:numFmt formatCode="General" sourceLinked="1"/>
        <c:majorTickMark val="out"/>
        <c:minorTickMark val="none"/>
        <c:tickLblPos val="nextTo"/>
        <c:crossAx val="18341536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rPr>
              <a:t>Revenue Cost Breakdown (%)</a:t>
            </a:r>
          </a:p>
        </c:rich>
      </c:tx>
      <c:layout>
        <c:manualLayout>
          <c:xMode val="edge"/>
          <c:yMode val="edge"/>
          <c:x val="0.23444504465486182"/>
          <c:y val="7.7477054268693633E-3"/>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47443381252335"/>
          <c:y val="0.23416389976248439"/>
          <c:w val="0.61619568657593704"/>
          <c:h val="0.72577517695947547"/>
        </c:manualLayout>
      </c:layout>
      <c:pieChart>
        <c:varyColors val="1"/>
        <c:ser>
          <c:idx val="0"/>
          <c:order val="0"/>
          <c:tx>
            <c:strRef>
              <c:f>Pivots!$B$117</c:f>
              <c:strCache>
                <c:ptCount val="1"/>
                <c:pt idx="0">
                  <c:v>Column2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27-4FA4-8B64-D5365006F9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27-4FA4-8B64-D5365006F9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27-4FA4-8B64-D5365006F9FA}"/>
              </c:ext>
            </c:extLst>
          </c:dPt>
          <c:dLbls>
            <c:dLbl>
              <c:idx val="1"/>
              <c:layout>
                <c:manualLayout>
                  <c:x val="5.3763418100322537E-3"/>
                  <c:y val="3.29860919467832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27-4FA4-8B64-D5365006F9F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Pivots!$A$118:$A$120</c:f>
              <c:strCache>
                <c:ptCount val="3"/>
                <c:pt idx="0">
                  <c:v>COGS %</c:v>
                </c:pt>
                <c:pt idx="1">
                  <c:v>Marketing %</c:v>
                </c:pt>
                <c:pt idx="2">
                  <c:v>Logistics %</c:v>
                </c:pt>
              </c:strCache>
            </c:strRef>
          </c:cat>
          <c:val>
            <c:numRef>
              <c:f>Pivots!$B$118:$B$120</c:f>
              <c:numCache>
                <c:formatCode>0.00%</c:formatCode>
                <c:ptCount val="3"/>
                <c:pt idx="0">
                  <c:v>0.58181708482939687</c:v>
                </c:pt>
                <c:pt idx="1">
                  <c:v>0.1094501564747626</c:v>
                </c:pt>
                <c:pt idx="2">
                  <c:v>6.489949093920501E-2</c:v>
                </c:pt>
              </c:numCache>
            </c:numRef>
          </c:val>
          <c:extLst>
            <c:ext xmlns:c16="http://schemas.microsoft.com/office/drawing/2014/chart" uri="{C3380CC4-5D6E-409C-BE32-E72D297353CC}">
              <c16:uniqueId val="{00000006-1227-4FA4-8B64-D5365006F9FA}"/>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[FMCG_Sales_&amp;_Profitability Dashboard.xlsx]Pivots!Top 5</c:name>
    <c:fmtId val="3"/>
  </c:pivotSource>
  <c:chart>
    <c:title>
      <c:tx>
        <c:rich>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r>
              <a:rPr lang="en-US" sz="800" b="1">
                <a:solidFill>
                  <a:schemeClr val="tx1"/>
                </a:solidFill>
              </a:rPr>
              <a:t>Top</a:t>
            </a:r>
            <a:r>
              <a:rPr lang="en-US" sz="800" b="1" baseline="0">
                <a:solidFill>
                  <a:schemeClr val="tx1"/>
                </a:solidFill>
              </a:rPr>
              <a:t> 10 Products by Revenue</a:t>
            </a:r>
          </a:p>
        </c:rich>
      </c:tx>
      <c:layout>
        <c:manualLayout>
          <c:xMode val="edge"/>
          <c:yMode val="edge"/>
          <c:x val="0.17526573700108342"/>
          <c:y val="2.6455026455026454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4157321243936E-2"/>
          <c:y val="0.23950907745423425"/>
          <c:w val="0.48939036029587202"/>
          <c:h val="0.73218394575678036"/>
        </c:manualLayout>
      </c:layout>
      <c:barChart>
        <c:barDir val="bar"/>
        <c:grouping val="clustered"/>
        <c:varyColors val="0"/>
        <c:ser>
          <c:idx val="0"/>
          <c:order val="0"/>
          <c:tx>
            <c:strRef>
              <c:f>Pivots!$B$202</c:f>
              <c:strCache>
                <c:ptCount val="1"/>
                <c:pt idx="0">
                  <c:v>Total</c:v>
                </c:pt>
              </c:strCache>
            </c:strRef>
          </c:tx>
          <c:spPr>
            <a:solidFill>
              <a:schemeClr val="accent1"/>
            </a:solidFill>
            <a:ln>
              <a:noFill/>
            </a:ln>
            <a:effectLst/>
          </c:spPr>
          <c:invertIfNegative val="0"/>
          <c:cat>
            <c:strRef>
              <c:f>Pivots!$A$203:$A$208</c:f>
              <c:strCache>
                <c:ptCount val="5"/>
                <c:pt idx="0">
                  <c:v>Laundry Detergent</c:v>
                </c:pt>
                <c:pt idx="1">
                  <c:v>Protein Bar Peanut</c:v>
                </c:pt>
                <c:pt idx="2">
                  <c:v>Shampoo Repair</c:v>
                </c:pt>
                <c:pt idx="3">
                  <c:v>Energy Drink Zero</c:v>
                </c:pt>
                <c:pt idx="4">
                  <c:v>Instant Coffee Gold</c:v>
                </c:pt>
              </c:strCache>
            </c:strRef>
          </c:cat>
          <c:val>
            <c:numRef>
              <c:f>Pivots!$B$203:$B$208</c:f>
              <c:numCache>
                <c:formatCode>"₹"\ #,##0.00</c:formatCode>
                <c:ptCount val="5"/>
                <c:pt idx="0">
                  <c:v>1253045.4691999997</c:v>
                </c:pt>
                <c:pt idx="1">
                  <c:v>801822.48324500001</c:v>
                </c:pt>
                <c:pt idx="2">
                  <c:v>653203.63037999987</c:v>
                </c:pt>
                <c:pt idx="3">
                  <c:v>627317.49479000003</c:v>
                </c:pt>
                <c:pt idx="4">
                  <c:v>615170.85206499987</c:v>
                </c:pt>
              </c:numCache>
            </c:numRef>
          </c:val>
          <c:extLst>
            <c:ext xmlns:c16="http://schemas.microsoft.com/office/drawing/2014/chart" uri="{C3380CC4-5D6E-409C-BE32-E72D297353CC}">
              <c16:uniqueId val="{00000000-344E-4BFB-A974-D12198B80FA7}"/>
            </c:ext>
          </c:extLst>
        </c:ser>
        <c:dLbls>
          <c:showLegendKey val="0"/>
          <c:showVal val="0"/>
          <c:showCatName val="0"/>
          <c:showSerName val="0"/>
          <c:showPercent val="0"/>
          <c:showBubbleSize val="0"/>
        </c:dLbls>
        <c:gapWidth val="60"/>
        <c:axId val="1655725120"/>
        <c:axId val="1655715040"/>
      </c:barChart>
      <c:catAx>
        <c:axId val="1655725120"/>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655715040"/>
        <c:crosses val="autoZero"/>
        <c:auto val="1"/>
        <c:lblAlgn val="ctr"/>
        <c:lblOffset val="100"/>
        <c:noMultiLvlLbl val="0"/>
      </c:catAx>
      <c:valAx>
        <c:axId val="1655715040"/>
        <c:scaling>
          <c:orientation val="minMax"/>
        </c:scaling>
        <c:delete val="0"/>
        <c:axPos val="t"/>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65572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[FMCG_Sales_&amp;_Profitability Dashboard.xlsx]Pivots!bottom 5</c:name>
    <c:fmtId val="5"/>
  </c:pivotSource>
  <c:chart>
    <c:title>
      <c:tx>
        <c:rich>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r>
              <a:rPr lang="en-US" sz="800" b="1">
                <a:solidFill>
                  <a:schemeClr val="tx1"/>
                </a:solidFill>
              </a:rPr>
              <a:t>Bottom</a:t>
            </a:r>
            <a:r>
              <a:rPr lang="en-US" sz="800" b="1" baseline="0">
                <a:solidFill>
                  <a:schemeClr val="tx1"/>
                </a:solidFill>
              </a:rPr>
              <a:t> 10 Products by profit margin</a:t>
            </a:r>
            <a:endParaRPr lang="en-US" sz="800" b="1">
              <a:solidFill>
                <a:schemeClr val="tx1"/>
              </a:solidFill>
            </a:endParaRPr>
          </a:p>
        </c:rich>
      </c:tx>
      <c:layout>
        <c:manualLayout>
          <c:xMode val="edge"/>
          <c:yMode val="edge"/>
          <c:x val="0.14822083115512902"/>
          <c:y val="1.444731068783308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12487741831415E-2"/>
          <c:y val="0.15887101730480513"/>
          <c:w val="0.46520713892607435"/>
          <c:h val="0.73218394575678036"/>
        </c:manualLayout>
      </c:layout>
      <c:barChart>
        <c:barDir val="bar"/>
        <c:grouping val="clustered"/>
        <c:varyColors val="0"/>
        <c:ser>
          <c:idx val="0"/>
          <c:order val="0"/>
          <c:tx>
            <c:strRef>
              <c:f>Pivots!$B$224</c:f>
              <c:strCache>
                <c:ptCount val="1"/>
                <c:pt idx="0">
                  <c:v>Total</c:v>
                </c:pt>
              </c:strCache>
            </c:strRef>
          </c:tx>
          <c:spPr>
            <a:solidFill>
              <a:schemeClr val="accent1"/>
            </a:solidFill>
            <a:ln>
              <a:noFill/>
            </a:ln>
            <a:effectLst/>
          </c:spPr>
          <c:invertIfNegative val="0"/>
          <c:cat>
            <c:strRef>
              <c:f>Pivots!$A$225:$A$230</c:f>
              <c:strCache>
                <c:ptCount val="5"/>
                <c:pt idx="0">
                  <c:v>Potato Chips BBQ</c:v>
                </c:pt>
                <c:pt idx="1">
                  <c:v>Sparkling Water Lemon</c:v>
                </c:pt>
                <c:pt idx="2">
                  <c:v>Green Tea Bags</c:v>
                </c:pt>
                <c:pt idx="3">
                  <c:v>Instant Coffee Gold</c:v>
                </c:pt>
                <c:pt idx="4">
                  <c:v>Sparkling Water Berry</c:v>
                </c:pt>
              </c:strCache>
            </c:strRef>
          </c:cat>
          <c:val>
            <c:numRef>
              <c:f>Pivots!$B$225:$B$230</c:f>
              <c:numCache>
                <c:formatCode>0%</c:formatCode>
                <c:ptCount val="5"/>
                <c:pt idx="0">
                  <c:v>0.1965780679344474</c:v>
                </c:pt>
                <c:pt idx="1">
                  <c:v>0.12910557601861883</c:v>
                </c:pt>
                <c:pt idx="2">
                  <c:v>0.1149768851797428</c:v>
                </c:pt>
                <c:pt idx="3">
                  <c:v>7.584755016980213E-2</c:v>
                </c:pt>
                <c:pt idx="4">
                  <c:v>6.3480459357223795E-2</c:v>
                </c:pt>
              </c:numCache>
            </c:numRef>
          </c:val>
          <c:extLst>
            <c:ext xmlns:c16="http://schemas.microsoft.com/office/drawing/2014/chart" uri="{C3380CC4-5D6E-409C-BE32-E72D297353CC}">
              <c16:uniqueId val="{00000000-0F95-4E19-BA52-A082C735C8A8}"/>
            </c:ext>
          </c:extLst>
        </c:ser>
        <c:dLbls>
          <c:showLegendKey val="0"/>
          <c:showVal val="0"/>
          <c:showCatName val="0"/>
          <c:showSerName val="0"/>
          <c:showPercent val="0"/>
          <c:showBubbleSize val="0"/>
        </c:dLbls>
        <c:gapWidth val="70"/>
        <c:axId val="23493984"/>
        <c:axId val="23494944"/>
      </c:barChart>
      <c:catAx>
        <c:axId val="23493984"/>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3494944"/>
        <c:crosses val="autoZero"/>
        <c:auto val="1"/>
        <c:lblAlgn val="ctr"/>
        <c:lblOffset val="100"/>
        <c:noMultiLvlLbl val="0"/>
      </c:catAx>
      <c:valAx>
        <c:axId val="234949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349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[FMCG_Sales_&amp;_Profitability Dashboard.xlsx]Pivots!channel wise sales</c:name>
    <c:fmtId val="10"/>
  </c:pivotSource>
  <c:chart>
    <c:title>
      <c:tx>
        <c:rich>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r>
              <a:rPr lang="en-IN" sz="900" b="1">
                <a:solidFill>
                  <a:schemeClr val="tx1"/>
                </a:solidFill>
              </a:rPr>
              <a:t>Channel-wise Revenue &amp; Profit</a:t>
            </a:r>
          </a:p>
        </c:rich>
      </c:tx>
      <c:layout>
        <c:manualLayout>
          <c:xMode val="edge"/>
          <c:yMode val="edge"/>
          <c:x val="0.22590501940373237"/>
          <c:y val="9.4633877575099595E-3"/>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08095355973088"/>
          <c:y val="0.13698659289210471"/>
          <c:w val="0.78062003870913133"/>
          <c:h val="0.61398091735055449"/>
        </c:manualLayout>
      </c:layout>
      <c:barChart>
        <c:barDir val="col"/>
        <c:grouping val="clustered"/>
        <c:varyColors val="0"/>
        <c:ser>
          <c:idx val="0"/>
          <c:order val="0"/>
          <c:tx>
            <c:strRef>
              <c:f>Pivots!$K$29</c:f>
              <c:strCache>
                <c:ptCount val="1"/>
                <c:pt idx="0">
                  <c:v>Revenue</c:v>
                </c:pt>
              </c:strCache>
            </c:strRef>
          </c:tx>
          <c:spPr>
            <a:solidFill>
              <a:schemeClr val="accent1"/>
            </a:solidFill>
            <a:ln>
              <a:noFill/>
            </a:ln>
            <a:effectLst/>
          </c:spPr>
          <c:invertIfNegative val="0"/>
          <c:cat>
            <c:strRef>
              <c:f>Pivots!$J$30:$J$34</c:f>
              <c:strCache>
                <c:ptCount val="4"/>
                <c:pt idx="0">
                  <c:v>Distributor</c:v>
                </c:pt>
                <c:pt idx="1">
                  <c:v>Wholesale</c:v>
                </c:pt>
                <c:pt idx="2">
                  <c:v>Modern Trade</c:v>
                </c:pt>
                <c:pt idx="3">
                  <c:v>Online</c:v>
                </c:pt>
              </c:strCache>
            </c:strRef>
          </c:cat>
          <c:val>
            <c:numRef>
              <c:f>Pivots!$K$30:$K$34</c:f>
              <c:numCache>
                <c:formatCode>"₹"\ #,##0.00</c:formatCode>
                <c:ptCount val="4"/>
                <c:pt idx="0">
                  <c:v>4465724.0993750002</c:v>
                </c:pt>
                <c:pt idx="1">
                  <c:v>3773720.216560001</c:v>
                </c:pt>
                <c:pt idx="2">
                  <c:v>3223886.0557750002</c:v>
                </c:pt>
                <c:pt idx="3">
                  <c:v>1225460.9898650004</c:v>
                </c:pt>
              </c:numCache>
            </c:numRef>
          </c:val>
          <c:extLst>
            <c:ext xmlns:c16="http://schemas.microsoft.com/office/drawing/2014/chart" uri="{C3380CC4-5D6E-409C-BE32-E72D297353CC}">
              <c16:uniqueId val="{00000000-B198-494C-B861-A841310F9BB1}"/>
            </c:ext>
          </c:extLst>
        </c:ser>
        <c:ser>
          <c:idx val="1"/>
          <c:order val="1"/>
          <c:tx>
            <c:strRef>
              <c:f>Pivots!$L$29</c:f>
              <c:strCache>
                <c:ptCount val="1"/>
                <c:pt idx="0">
                  <c:v>Profit</c:v>
                </c:pt>
              </c:strCache>
            </c:strRef>
          </c:tx>
          <c:spPr>
            <a:solidFill>
              <a:schemeClr val="accent2"/>
            </a:solidFill>
            <a:ln w="0">
              <a:noFill/>
            </a:ln>
            <a:effectLst/>
          </c:spPr>
          <c:invertIfNegative val="0"/>
          <c:cat>
            <c:strRef>
              <c:f>Pivots!$J$30:$J$34</c:f>
              <c:strCache>
                <c:ptCount val="4"/>
                <c:pt idx="0">
                  <c:v>Distributor</c:v>
                </c:pt>
                <c:pt idx="1">
                  <c:v>Wholesale</c:v>
                </c:pt>
                <c:pt idx="2">
                  <c:v>Modern Trade</c:v>
                </c:pt>
                <c:pt idx="3">
                  <c:v>Online</c:v>
                </c:pt>
              </c:strCache>
            </c:strRef>
          </c:cat>
          <c:val>
            <c:numRef>
              <c:f>Pivots!$L$30:$L$34</c:f>
              <c:numCache>
                <c:formatCode>"₹"\ #,##0.00</c:formatCode>
                <c:ptCount val="4"/>
                <c:pt idx="0">
                  <c:v>1202419.9993749999</c:v>
                </c:pt>
                <c:pt idx="1">
                  <c:v>1075440.0165599999</c:v>
                </c:pt>
                <c:pt idx="2">
                  <c:v>654657.85577499948</c:v>
                </c:pt>
                <c:pt idx="3">
                  <c:v>161431.58986500007</c:v>
                </c:pt>
              </c:numCache>
            </c:numRef>
          </c:val>
          <c:extLst>
            <c:ext xmlns:c16="http://schemas.microsoft.com/office/drawing/2014/chart" uri="{C3380CC4-5D6E-409C-BE32-E72D297353CC}">
              <c16:uniqueId val="{00000001-B198-494C-B861-A841310F9BB1}"/>
            </c:ext>
          </c:extLst>
        </c:ser>
        <c:dLbls>
          <c:showLegendKey val="0"/>
          <c:showVal val="0"/>
          <c:showCatName val="0"/>
          <c:showSerName val="0"/>
          <c:showPercent val="0"/>
          <c:showBubbleSize val="0"/>
        </c:dLbls>
        <c:gapWidth val="36"/>
        <c:overlap val="-27"/>
        <c:axId val="2012275999"/>
        <c:axId val="2012281279"/>
      </c:barChart>
      <c:catAx>
        <c:axId val="201227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2012281279"/>
        <c:crosses val="autoZero"/>
        <c:auto val="1"/>
        <c:lblAlgn val="ctr"/>
        <c:lblOffset val="100"/>
        <c:noMultiLvlLbl val="0"/>
      </c:catAx>
      <c:valAx>
        <c:axId val="2012281279"/>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201227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r>
              <a:rPr lang="en-IN" sz="800" b="1">
                <a:solidFill>
                  <a:schemeClr val="tx1"/>
                </a:solidFill>
              </a:rPr>
              <a:t>Channel Efficiency (Cost % vs Margin)</a:t>
            </a:r>
          </a:p>
        </c:rich>
      </c:tx>
      <c:layout>
        <c:manualLayout>
          <c:xMode val="edge"/>
          <c:yMode val="edge"/>
          <c:x val="0.1313445093556854"/>
          <c:y val="2.3682697033388756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2277792606432671"/>
          <c:y val="0.13934289090357729"/>
          <c:w val="0.76581481112329308"/>
          <c:h val="0.59281714785651796"/>
        </c:manualLayout>
      </c:layout>
      <c:barChart>
        <c:barDir val="col"/>
        <c:grouping val="clustered"/>
        <c:varyColors val="0"/>
        <c:ser>
          <c:idx val="0"/>
          <c:order val="0"/>
          <c:tx>
            <c:strRef>
              <c:f>Pivots!$D$36</c:f>
              <c:strCache>
                <c:ptCount val="1"/>
                <c:pt idx="0">
                  <c:v>Marketing cost%</c:v>
                </c:pt>
              </c:strCache>
            </c:strRef>
          </c:tx>
          <c:spPr>
            <a:solidFill>
              <a:schemeClr val="accent1"/>
            </a:solidFill>
            <a:ln>
              <a:noFill/>
            </a:ln>
            <a:effectLst/>
          </c:spPr>
          <c:invertIfNegative val="0"/>
          <c:cat>
            <c:strRef>
              <c:f>Pivots!$C$37:$C$40</c:f>
              <c:strCache>
                <c:ptCount val="4"/>
                <c:pt idx="0">
                  <c:v>Wholesale</c:v>
                </c:pt>
                <c:pt idx="1">
                  <c:v>Distributor</c:v>
                </c:pt>
                <c:pt idx="2">
                  <c:v>Modern Trade</c:v>
                </c:pt>
                <c:pt idx="3">
                  <c:v>Online</c:v>
                </c:pt>
              </c:strCache>
            </c:strRef>
          </c:cat>
          <c:val>
            <c:numRef>
              <c:f>Pivots!$D$37:$D$40</c:f>
              <c:numCache>
                <c:formatCode>0%</c:formatCode>
                <c:ptCount val="4"/>
                <c:pt idx="0">
                  <c:v>8.3055110610640193E-2</c:v>
                </c:pt>
                <c:pt idx="1">
                  <c:v>9.5771120311677296E-2</c:v>
                </c:pt>
                <c:pt idx="2">
                  <c:v>0.13425862220677945</c:v>
                </c:pt>
                <c:pt idx="3">
                  <c:v>0.17531488295165357</c:v>
                </c:pt>
              </c:numCache>
            </c:numRef>
          </c:val>
          <c:extLst>
            <c:ext xmlns:c16="http://schemas.microsoft.com/office/drawing/2014/chart" uri="{C3380CC4-5D6E-409C-BE32-E72D297353CC}">
              <c16:uniqueId val="{00000000-4AA2-4C0D-8790-5D6A1660D187}"/>
            </c:ext>
          </c:extLst>
        </c:ser>
        <c:ser>
          <c:idx val="1"/>
          <c:order val="1"/>
          <c:tx>
            <c:strRef>
              <c:f>Pivots!$E$36</c:f>
              <c:strCache>
                <c:ptCount val="1"/>
                <c:pt idx="0">
                  <c:v>Logistics cost%</c:v>
                </c:pt>
              </c:strCache>
            </c:strRef>
          </c:tx>
          <c:spPr>
            <a:solidFill>
              <a:schemeClr val="accent2"/>
            </a:solidFill>
            <a:ln>
              <a:noFill/>
            </a:ln>
            <a:effectLst/>
          </c:spPr>
          <c:invertIfNegative val="0"/>
          <c:cat>
            <c:strRef>
              <c:f>Pivots!$C$37:$C$40</c:f>
              <c:strCache>
                <c:ptCount val="4"/>
                <c:pt idx="0">
                  <c:v>Wholesale</c:v>
                </c:pt>
                <c:pt idx="1">
                  <c:v>Distributor</c:v>
                </c:pt>
                <c:pt idx="2">
                  <c:v>Modern Trade</c:v>
                </c:pt>
                <c:pt idx="3">
                  <c:v>Online</c:v>
                </c:pt>
              </c:strCache>
            </c:strRef>
          </c:cat>
          <c:val>
            <c:numRef>
              <c:f>Pivots!$E$37:$E$40</c:f>
              <c:numCache>
                <c:formatCode>0%</c:formatCode>
                <c:ptCount val="4"/>
                <c:pt idx="0">
                  <c:v>4.912763516130484E-2</c:v>
                </c:pt>
                <c:pt idx="1">
                  <c:v>5.9484866079652803E-2</c:v>
                </c:pt>
                <c:pt idx="2">
                  <c:v>7.5605820361850692E-2</c:v>
                </c:pt>
                <c:pt idx="3">
                  <c:v>0.10503361678953117</c:v>
                </c:pt>
              </c:numCache>
            </c:numRef>
          </c:val>
          <c:extLst>
            <c:ext xmlns:c16="http://schemas.microsoft.com/office/drawing/2014/chart" uri="{C3380CC4-5D6E-409C-BE32-E72D297353CC}">
              <c16:uniqueId val="{00000001-4AA2-4C0D-8790-5D6A1660D187}"/>
            </c:ext>
          </c:extLst>
        </c:ser>
        <c:dLbls>
          <c:showLegendKey val="0"/>
          <c:showVal val="0"/>
          <c:showCatName val="0"/>
          <c:showSerName val="0"/>
          <c:showPercent val="0"/>
          <c:showBubbleSize val="0"/>
        </c:dLbls>
        <c:gapWidth val="50"/>
        <c:overlap val="-27"/>
        <c:axId val="2014958751"/>
        <c:axId val="2014956351"/>
      </c:barChart>
      <c:lineChart>
        <c:grouping val="standard"/>
        <c:varyColors val="0"/>
        <c:ser>
          <c:idx val="2"/>
          <c:order val="2"/>
          <c:tx>
            <c:strRef>
              <c:f>Pivots!$F$36</c:f>
              <c:strCache>
                <c:ptCount val="1"/>
                <c:pt idx="0">
                  <c:v>Profit Margin</c:v>
                </c:pt>
              </c:strCache>
            </c:strRef>
          </c:tx>
          <c:spPr>
            <a:ln w="28575" cap="rnd">
              <a:solidFill>
                <a:schemeClr val="accent3"/>
              </a:solidFill>
              <a:round/>
            </a:ln>
            <a:effectLst/>
          </c:spPr>
          <c:marker>
            <c:symbol val="none"/>
          </c:marker>
          <c:cat>
            <c:strRef>
              <c:f>Pivots!$C$37:$C$40</c:f>
              <c:strCache>
                <c:ptCount val="4"/>
                <c:pt idx="0">
                  <c:v>Wholesale</c:v>
                </c:pt>
                <c:pt idx="1">
                  <c:v>Distributor</c:v>
                </c:pt>
                <c:pt idx="2">
                  <c:v>Modern Trade</c:v>
                </c:pt>
                <c:pt idx="3">
                  <c:v>Online</c:v>
                </c:pt>
              </c:strCache>
            </c:strRef>
          </c:cat>
          <c:val>
            <c:numRef>
              <c:f>Pivots!$F$37:$F$40</c:f>
              <c:numCache>
                <c:formatCode>0%</c:formatCode>
                <c:ptCount val="4"/>
                <c:pt idx="0">
                  <c:v>0.28498138570016607</c:v>
                </c:pt>
                <c:pt idx="1">
                  <c:v>0.26925532626238247</c:v>
                </c:pt>
                <c:pt idx="2">
                  <c:v>0.20306482439176163</c:v>
                </c:pt>
                <c:pt idx="3">
                  <c:v>0.1317313167861702</c:v>
                </c:pt>
              </c:numCache>
            </c:numRef>
          </c:val>
          <c:smooth val="0"/>
          <c:extLst>
            <c:ext xmlns:c16="http://schemas.microsoft.com/office/drawing/2014/chart" uri="{C3380CC4-5D6E-409C-BE32-E72D297353CC}">
              <c16:uniqueId val="{00000002-4AA2-4C0D-8790-5D6A1660D187}"/>
            </c:ext>
          </c:extLst>
        </c:ser>
        <c:dLbls>
          <c:showLegendKey val="0"/>
          <c:showVal val="0"/>
          <c:showCatName val="0"/>
          <c:showSerName val="0"/>
          <c:showPercent val="0"/>
          <c:showBubbleSize val="0"/>
        </c:dLbls>
        <c:marker val="1"/>
        <c:smooth val="0"/>
        <c:axId val="1711693247"/>
        <c:axId val="1711692767"/>
      </c:lineChart>
      <c:catAx>
        <c:axId val="201495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mn-lt"/>
                <a:ea typeface="+mn-ea"/>
                <a:cs typeface="+mn-cs"/>
              </a:defRPr>
            </a:pPr>
            <a:endParaRPr lang="en-US"/>
          </a:p>
        </c:txPr>
        <c:crossAx val="2014956351"/>
        <c:crosses val="autoZero"/>
        <c:auto val="1"/>
        <c:lblAlgn val="ctr"/>
        <c:lblOffset val="100"/>
        <c:noMultiLvlLbl val="0"/>
      </c:catAx>
      <c:valAx>
        <c:axId val="20149563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2014958751"/>
        <c:crosses val="autoZero"/>
        <c:crossBetween val="between"/>
      </c:valAx>
      <c:valAx>
        <c:axId val="17116927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711693247"/>
        <c:crosses val="max"/>
        <c:crossBetween val="between"/>
      </c:valAx>
      <c:catAx>
        <c:axId val="1711693247"/>
        <c:scaling>
          <c:orientation val="minMax"/>
        </c:scaling>
        <c:delete val="1"/>
        <c:axPos val="b"/>
        <c:numFmt formatCode="General" sourceLinked="1"/>
        <c:majorTickMark val="out"/>
        <c:minorTickMark val="none"/>
        <c:tickLblPos val="nextTo"/>
        <c:crossAx val="1711692767"/>
        <c:crosses val="autoZero"/>
        <c:auto val="1"/>
        <c:lblAlgn val="ctr"/>
        <c:lblOffset val="100"/>
        <c:noMultiLvlLbl val="0"/>
      </c:catAx>
      <c:spPr>
        <a:noFill/>
        <a:ln>
          <a:noFill/>
        </a:ln>
        <a:effectLst/>
      </c:spPr>
    </c:plotArea>
    <c:legend>
      <c:legendPos val="b"/>
      <c:layout>
        <c:manualLayout>
          <c:xMode val="edge"/>
          <c:yMode val="edge"/>
          <c:x val="1.8801992971217582E-2"/>
          <c:y val="0.87742729867929858"/>
          <c:w val="0.95376344086021503"/>
          <c:h val="9.6012276353901971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[FMCG_Sales_&amp;_Profitability Dashboard.xlsx]Pivots!promo analysis</c:name>
    <c:fmtId val="26"/>
  </c:pivotSource>
  <c:chart>
    <c:title>
      <c:tx>
        <c:rich>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r>
              <a:rPr lang="en-IN" sz="900" b="1">
                <a:solidFill>
                  <a:schemeClr val="tx1"/>
                </a:solidFill>
              </a:rPr>
              <a:t>Promotion Effectiveness (Revenue vs Profit vs</a:t>
            </a:r>
            <a:r>
              <a:rPr lang="en-IN" sz="900" b="1" baseline="0">
                <a:solidFill>
                  <a:schemeClr val="tx1"/>
                </a:solidFill>
              </a:rPr>
              <a:t>  </a:t>
            </a:r>
            <a:r>
              <a:rPr lang="en-IN" sz="900" b="1">
                <a:solidFill>
                  <a:schemeClr val="tx1"/>
                </a:solidFill>
              </a:rPr>
              <a:t>Discount)</a:t>
            </a:r>
          </a:p>
        </c:rich>
      </c:tx>
      <c:layout>
        <c:manualLayout>
          <c:xMode val="edge"/>
          <c:yMode val="edge"/>
          <c:x val="0.16993089528720332"/>
          <c:y val="2.7027054310518876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750497712123"/>
          <c:y val="0.12269836462749847"/>
          <c:w val="0.81246561621593616"/>
          <c:h val="0.71309055118110232"/>
        </c:manualLayout>
      </c:layout>
      <c:barChart>
        <c:barDir val="col"/>
        <c:grouping val="clustered"/>
        <c:varyColors val="0"/>
        <c:ser>
          <c:idx val="0"/>
          <c:order val="0"/>
          <c:tx>
            <c:strRef>
              <c:f>Pivots!$B$57</c:f>
              <c:strCache>
                <c:ptCount val="1"/>
                <c:pt idx="0">
                  <c:v>Revenue</c:v>
                </c:pt>
              </c:strCache>
            </c:strRef>
          </c:tx>
          <c:spPr>
            <a:solidFill>
              <a:schemeClr val="accent1"/>
            </a:solidFill>
            <a:ln>
              <a:noFill/>
            </a:ln>
            <a:effectLst/>
          </c:spPr>
          <c:invertIfNegative val="0"/>
          <c:cat>
            <c:strRef>
              <c:f>Pivots!$A$58:$A$65</c:f>
              <c:strCache>
                <c:ptCount val="7"/>
                <c:pt idx="0">
                  <c:v>No Promo</c:v>
                </c:pt>
                <c:pt idx="1">
                  <c:v>Loyalty Cashback</c:v>
                </c:pt>
                <c:pt idx="2">
                  <c:v>Seasonal Campaign</c:v>
                </c:pt>
                <c:pt idx="3">
                  <c:v>Bundle Offer</c:v>
                </c:pt>
                <c:pt idx="4">
                  <c:v>Festival Campaign</c:v>
                </c:pt>
                <c:pt idx="5">
                  <c:v>Flash Discount</c:v>
                </c:pt>
                <c:pt idx="6">
                  <c:v>Introductory Offer</c:v>
                </c:pt>
              </c:strCache>
            </c:strRef>
          </c:cat>
          <c:val>
            <c:numRef>
              <c:f>Pivots!$B$58:$B$65</c:f>
              <c:numCache>
                <c:formatCode>"₹"\ #,##0.00</c:formatCode>
                <c:ptCount val="7"/>
                <c:pt idx="0">
                  <c:v>4661514.431069999</c:v>
                </c:pt>
                <c:pt idx="1">
                  <c:v>764402.32645000005</c:v>
                </c:pt>
                <c:pt idx="2">
                  <c:v>2147992.7689849995</c:v>
                </c:pt>
                <c:pt idx="3">
                  <c:v>2376156.5140950005</c:v>
                </c:pt>
                <c:pt idx="4">
                  <c:v>1141893.9759849999</c:v>
                </c:pt>
                <c:pt idx="5">
                  <c:v>1071313.3626649997</c:v>
                </c:pt>
                <c:pt idx="6">
                  <c:v>525517.98232499999</c:v>
                </c:pt>
              </c:numCache>
            </c:numRef>
          </c:val>
          <c:extLst>
            <c:ext xmlns:c16="http://schemas.microsoft.com/office/drawing/2014/chart" uri="{C3380CC4-5D6E-409C-BE32-E72D297353CC}">
              <c16:uniqueId val="{00000000-B188-44A0-8EE3-E423E1A1922C}"/>
            </c:ext>
          </c:extLst>
        </c:ser>
        <c:ser>
          <c:idx val="1"/>
          <c:order val="1"/>
          <c:tx>
            <c:strRef>
              <c:f>Pivots!$C$57</c:f>
              <c:strCache>
                <c:ptCount val="1"/>
                <c:pt idx="0">
                  <c:v>Profit</c:v>
                </c:pt>
              </c:strCache>
            </c:strRef>
          </c:tx>
          <c:spPr>
            <a:solidFill>
              <a:schemeClr val="accent2"/>
            </a:solidFill>
            <a:ln>
              <a:noFill/>
            </a:ln>
            <a:effectLst/>
          </c:spPr>
          <c:invertIfNegative val="0"/>
          <c:cat>
            <c:strRef>
              <c:f>Pivots!$A$58:$A$65</c:f>
              <c:strCache>
                <c:ptCount val="7"/>
                <c:pt idx="0">
                  <c:v>No Promo</c:v>
                </c:pt>
                <c:pt idx="1">
                  <c:v>Loyalty Cashback</c:v>
                </c:pt>
                <c:pt idx="2">
                  <c:v>Seasonal Campaign</c:v>
                </c:pt>
                <c:pt idx="3">
                  <c:v>Bundle Offer</c:v>
                </c:pt>
                <c:pt idx="4">
                  <c:v>Festival Campaign</c:v>
                </c:pt>
                <c:pt idx="5">
                  <c:v>Flash Discount</c:v>
                </c:pt>
                <c:pt idx="6">
                  <c:v>Introductory Offer</c:v>
                </c:pt>
              </c:strCache>
            </c:strRef>
          </c:cat>
          <c:val>
            <c:numRef>
              <c:f>Pivots!$C$58:$C$65</c:f>
              <c:numCache>
                <c:formatCode>"₹"\ #,##0.00</c:formatCode>
                <c:ptCount val="7"/>
                <c:pt idx="0">
                  <c:v>1263110.6810699997</c:v>
                </c:pt>
                <c:pt idx="1">
                  <c:v>186925.42645</c:v>
                </c:pt>
                <c:pt idx="2">
                  <c:v>480894.11898499983</c:v>
                </c:pt>
                <c:pt idx="3">
                  <c:v>599703.86409500008</c:v>
                </c:pt>
                <c:pt idx="4">
                  <c:v>228418.475985</c:v>
                </c:pt>
                <c:pt idx="5">
                  <c:v>238255.26266500005</c:v>
                </c:pt>
                <c:pt idx="6">
                  <c:v>96641.632325000028</c:v>
                </c:pt>
              </c:numCache>
            </c:numRef>
          </c:val>
          <c:extLst>
            <c:ext xmlns:c16="http://schemas.microsoft.com/office/drawing/2014/chart" uri="{C3380CC4-5D6E-409C-BE32-E72D297353CC}">
              <c16:uniqueId val="{00000001-B188-44A0-8EE3-E423E1A1922C}"/>
            </c:ext>
          </c:extLst>
        </c:ser>
        <c:dLbls>
          <c:showLegendKey val="0"/>
          <c:showVal val="0"/>
          <c:showCatName val="0"/>
          <c:showSerName val="0"/>
          <c:showPercent val="0"/>
          <c:showBubbleSize val="0"/>
        </c:dLbls>
        <c:gapWidth val="80"/>
        <c:overlap val="-10"/>
        <c:axId val="2012277439"/>
        <c:axId val="2012287039"/>
      </c:barChart>
      <c:lineChart>
        <c:grouping val="standard"/>
        <c:varyColors val="0"/>
        <c:ser>
          <c:idx val="2"/>
          <c:order val="2"/>
          <c:tx>
            <c:strRef>
              <c:f>Pivots!$D$57</c:f>
              <c:strCache>
                <c:ptCount val="1"/>
                <c:pt idx="0">
                  <c:v>Discount %</c:v>
                </c:pt>
              </c:strCache>
            </c:strRef>
          </c:tx>
          <c:spPr>
            <a:ln w="28575" cap="rnd">
              <a:solidFill>
                <a:schemeClr val="accent3"/>
              </a:solidFill>
              <a:round/>
            </a:ln>
            <a:effectLst/>
          </c:spPr>
          <c:marker>
            <c:symbol val="none"/>
          </c:marker>
          <c:cat>
            <c:strRef>
              <c:f>Pivots!$A$58:$A$65</c:f>
              <c:strCache>
                <c:ptCount val="7"/>
                <c:pt idx="0">
                  <c:v>No Promo</c:v>
                </c:pt>
                <c:pt idx="1">
                  <c:v>Loyalty Cashback</c:v>
                </c:pt>
                <c:pt idx="2">
                  <c:v>Seasonal Campaign</c:v>
                </c:pt>
                <c:pt idx="3">
                  <c:v>Bundle Offer</c:v>
                </c:pt>
                <c:pt idx="4">
                  <c:v>Festival Campaign</c:v>
                </c:pt>
                <c:pt idx="5">
                  <c:v>Flash Discount</c:v>
                </c:pt>
                <c:pt idx="6">
                  <c:v>Introductory Offer</c:v>
                </c:pt>
              </c:strCache>
            </c:strRef>
          </c:cat>
          <c:val>
            <c:numRef>
              <c:f>Pivots!$D$58:$D$65</c:f>
              <c:numCache>
                <c:formatCode>0%</c:formatCode>
                <c:ptCount val="7"/>
                <c:pt idx="0">
                  <c:v>0.10902736526197447</c:v>
                </c:pt>
                <c:pt idx="1">
                  <c:v>0.14162120417129936</c:v>
                </c:pt>
                <c:pt idx="2">
                  <c:v>0.16279772000949999</c:v>
                </c:pt>
                <c:pt idx="3">
                  <c:v>0.17232122337390626</c:v>
                </c:pt>
                <c:pt idx="4">
                  <c:v>0.19403802666732561</c:v>
                </c:pt>
                <c:pt idx="5">
                  <c:v>0.20628003535429007</c:v>
                </c:pt>
                <c:pt idx="6">
                  <c:v>0.22917027555669642</c:v>
                </c:pt>
              </c:numCache>
            </c:numRef>
          </c:val>
          <c:smooth val="0"/>
          <c:extLst>
            <c:ext xmlns:c16="http://schemas.microsoft.com/office/drawing/2014/chart" uri="{C3380CC4-5D6E-409C-BE32-E72D297353CC}">
              <c16:uniqueId val="{00000002-B188-44A0-8EE3-E423E1A1922C}"/>
            </c:ext>
          </c:extLst>
        </c:ser>
        <c:dLbls>
          <c:showLegendKey val="0"/>
          <c:showVal val="0"/>
          <c:showCatName val="0"/>
          <c:showSerName val="0"/>
          <c:showPercent val="0"/>
          <c:showBubbleSize val="0"/>
        </c:dLbls>
        <c:marker val="1"/>
        <c:smooth val="0"/>
        <c:axId val="1707617023"/>
        <c:axId val="1707616543"/>
      </c:lineChart>
      <c:catAx>
        <c:axId val="201227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35" b="0" i="0" u="none" strike="noStrike" kern="1200" baseline="0">
                <a:solidFill>
                  <a:schemeClr val="tx1"/>
                </a:solidFill>
                <a:latin typeface="+mn-lt"/>
                <a:ea typeface="+mn-ea"/>
                <a:cs typeface="+mn-cs"/>
              </a:defRPr>
            </a:pPr>
            <a:endParaRPr lang="en-US"/>
          </a:p>
        </c:txPr>
        <c:crossAx val="2012287039"/>
        <c:crosses val="autoZero"/>
        <c:auto val="1"/>
        <c:lblAlgn val="ctr"/>
        <c:lblOffset val="100"/>
        <c:noMultiLvlLbl val="0"/>
      </c:catAx>
      <c:valAx>
        <c:axId val="2012287039"/>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12277439"/>
        <c:crosses val="autoZero"/>
        <c:crossBetween val="between"/>
      </c:valAx>
      <c:valAx>
        <c:axId val="170761654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07617023"/>
        <c:crosses val="max"/>
        <c:crossBetween val="between"/>
      </c:valAx>
      <c:catAx>
        <c:axId val="1707617023"/>
        <c:scaling>
          <c:orientation val="minMax"/>
        </c:scaling>
        <c:delete val="1"/>
        <c:axPos val="b"/>
        <c:numFmt formatCode="General" sourceLinked="1"/>
        <c:majorTickMark val="out"/>
        <c:minorTickMark val="none"/>
        <c:tickLblPos val="nextTo"/>
        <c:crossAx val="17076165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[FMCG_Sales_&amp;_Profitability Dashboard.xlsx]Pivots!prmo units vs margin</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Sales Volume vs Discount by Promotion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5099501451208"/>
          <c:y val="0.15740740740740741"/>
          <c:w val="0.79366624310850031"/>
          <c:h val="0.56956765820939059"/>
        </c:manualLayout>
      </c:layout>
      <c:barChart>
        <c:barDir val="col"/>
        <c:grouping val="clustered"/>
        <c:varyColors val="0"/>
        <c:ser>
          <c:idx val="0"/>
          <c:order val="0"/>
          <c:tx>
            <c:strRef>
              <c:f>Pivots!$B$78</c:f>
              <c:strCache>
                <c:ptCount val="1"/>
                <c:pt idx="0">
                  <c:v>Units Sold</c:v>
                </c:pt>
              </c:strCache>
            </c:strRef>
          </c:tx>
          <c:spPr>
            <a:solidFill>
              <a:schemeClr val="accent1"/>
            </a:solidFill>
            <a:ln>
              <a:noFill/>
            </a:ln>
            <a:effectLst/>
          </c:spPr>
          <c:invertIfNegative val="0"/>
          <c:cat>
            <c:strRef>
              <c:f>Pivots!$A$79:$A$86</c:f>
              <c:strCache>
                <c:ptCount val="7"/>
                <c:pt idx="0">
                  <c:v>No Promo</c:v>
                </c:pt>
                <c:pt idx="1">
                  <c:v>Loyalty Cashback</c:v>
                </c:pt>
                <c:pt idx="2">
                  <c:v>Seasonal Campaign</c:v>
                </c:pt>
                <c:pt idx="3">
                  <c:v>Bundle Offer</c:v>
                </c:pt>
                <c:pt idx="4">
                  <c:v>Festival Campaign</c:v>
                </c:pt>
                <c:pt idx="5">
                  <c:v>Flash Discount</c:v>
                </c:pt>
                <c:pt idx="6">
                  <c:v>Introductory Offer</c:v>
                </c:pt>
              </c:strCache>
            </c:strRef>
          </c:cat>
          <c:val>
            <c:numRef>
              <c:f>Pivots!$B$79:$B$86</c:f>
              <c:numCache>
                <c:formatCode>"₹"\ #,##0.00</c:formatCode>
                <c:ptCount val="7"/>
                <c:pt idx="0">
                  <c:v>43551</c:v>
                </c:pt>
                <c:pt idx="1">
                  <c:v>7011</c:v>
                </c:pt>
                <c:pt idx="2">
                  <c:v>18421</c:v>
                </c:pt>
                <c:pt idx="3">
                  <c:v>21479</c:v>
                </c:pt>
                <c:pt idx="4">
                  <c:v>11895</c:v>
                </c:pt>
                <c:pt idx="5">
                  <c:v>10155</c:v>
                </c:pt>
                <c:pt idx="6">
                  <c:v>5637</c:v>
                </c:pt>
              </c:numCache>
            </c:numRef>
          </c:val>
          <c:extLst>
            <c:ext xmlns:c16="http://schemas.microsoft.com/office/drawing/2014/chart" uri="{C3380CC4-5D6E-409C-BE32-E72D297353CC}">
              <c16:uniqueId val="{00000000-FE7F-4320-8A39-97D85919C389}"/>
            </c:ext>
          </c:extLst>
        </c:ser>
        <c:dLbls>
          <c:showLegendKey val="0"/>
          <c:showVal val="0"/>
          <c:showCatName val="0"/>
          <c:showSerName val="0"/>
          <c:showPercent val="0"/>
          <c:showBubbleSize val="0"/>
        </c:dLbls>
        <c:gapWidth val="50"/>
        <c:overlap val="-27"/>
        <c:axId val="2050228719"/>
        <c:axId val="2050230639"/>
      </c:barChart>
      <c:lineChart>
        <c:grouping val="standard"/>
        <c:varyColors val="0"/>
        <c:ser>
          <c:idx val="1"/>
          <c:order val="1"/>
          <c:tx>
            <c:strRef>
              <c:f>Pivots!$C$78</c:f>
              <c:strCache>
                <c:ptCount val="1"/>
                <c:pt idx="0">
                  <c:v>Discount %</c:v>
                </c:pt>
              </c:strCache>
            </c:strRef>
          </c:tx>
          <c:spPr>
            <a:ln w="28575" cap="rnd">
              <a:solidFill>
                <a:schemeClr val="accent2"/>
              </a:solidFill>
              <a:round/>
            </a:ln>
            <a:effectLst/>
          </c:spPr>
          <c:marker>
            <c:symbol val="none"/>
          </c:marker>
          <c:cat>
            <c:strRef>
              <c:f>Pivots!$A$79:$A$86</c:f>
              <c:strCache>
                <c:ptCount val="7"/>
                <c:pt idx="0">
                  <c:v>No Promo</c:v>
                </c:pt>
                <c:pt idx="1">
                  <c:v>Loyalty Cashback</c:v>
                </c:pt>
                <c:pt idx="2">
                  <c:v>Seasonal Campaign</c:v>
                </c:pt>
                <c:pt idx="3">
                  <c:v>Bundle Offer</c:v>
                </c:pt>
                <c:pt idx="4">
                  <c:v>Festival Campaign</c:v>
                </c:pt>
                <c:pt idx="5">
                  <c:v>Flash Discount</c:v>
                </c:pt>
                <c:pt idx="6">
                  <c:v>Introductory Offer</c:v>
                </c:pt>
              </c:strCache>
            </c:strRef>
          </c:cat>
          <c:val>
            <c:numRef>
              <c:f>Pivots!$C$79:$C$86</c:f>
              <c:numCache>
                <c:formatCode>0%</c:formatCode>
                <c:ptCount val="7"/>
                <c:pt idx="0">
                  <c:v>0.10902736526197447</c:v>
                </c:pt>
                <c:pt idx="1">
                  <c:v>0.14162120417129936</c:v>
                </c:pt>
                <c:pt idx="2">
                  <c:v>0.16279772000949999</c:v>
                </c:pt>
                <c:pt idx="3">
                  <c:v>0.17232122337390626</c:v>
                </c:pt>
                <c:pt idx="4">
                  <c:v>0.19403802666732561</c:v>
                </c:pt>
                <c:pt idx="5">
                  <c:v>0.20628003535429007</c:v>
                </c:pt>
                <c:pt idx="6">
                  <c:v>0.22917027555669642</c:v>
                </c:pt>
              </c:numCache>
            </c:numRef>
          </c:val>
          <c:smooth val="0"/>
          <c:extLst>
            <c:ext xmlns:c16="http://schemas.microsoft.com/office/drawing/2014/chart" uri="{C3380CC4-5D6E-409C-BE32-E72D297353CC}">
              <c16:uniqueId val="{00000001-FE7F-4320-8A39-97D85919C389}"/>
            </c:ext>
          </c:extLst>
        </c:ser>
        <c:dLbls>
          <c:showLegendKey val="0"/>
          <c:showVal val="0"/>
          <c:showCatName val="0"/>
          <c:showSerName val="0"/>
          <c:showPercent val="0"/>
          <c:showBubbleSize val="0"/>
        </c:dLbls>
        <c:marker val="1"/>
        <c:smooth val="0"/>
        <c:axId val="1705362719"/>
        <c:axId val="855975439"/>
      </c:lineChart>
      <c:catAx>
        <c:axId val="20502287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50230639"/>
        <c:crosses val="autoZero"/>
        <c:auto val="0"/>
        <c:lblAlgn val="ctr"/>
        <c:lblOffset val="100"/>
        <c:noMultiLvlLbl val="0"/>
      </c:catAx>
      <c:valAx>
        <c:axId val="205023063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28719"/>
        <c:crosses val="autoZero"/>
        <c:crossBetween val="between"/>
      </c:valAx>
      <c:valAx>
        <c:axId val="85597543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62719"/>
        <c:crosses val="max"/>
        <c:crossBetween val="between"/>
      </c:valAx>
      <c:catAx>
        <c:axId val="1705362719"/>
        <c:scaling>
          <c:orientation val="minMax"/>
        </c:scaling>
        <c:delete val="1"/>
        <c:axPos val="b"/>
        <c:numFmt formatCode="General" sourceLinked="1"/>
        <c:majorTickMark val="out"/>
        <c:minorTickMark val="none"/>
        <c:tickLblPos val="nextTo"/>
        <c:crossAx val="855975439"/>
        <c:crosses val="autoZero"/>
        <c:auto val="1"/>
        <c:lblAlgn val="ctr"/>
        <c:lblOffset val="100"/>
        <c:noMultiLvlLbl val="0"/>
      </c:catAx>
      <c:spPr>
        <a:noFill/>
        <a:ln>
          <a:noFill/>
        </a:ln>
        <a:effectLst/>
      </c:spPr>
    </c:plotArea>
    <c:legend>
      <c:legendPos val="r"/>
      <c:layout>
        <c:manualLayout>
          <c:xMode val="edge"/>
          <c:yMode val="edge"/>
          <c:x val="0.15779746281714785"/>
          <c:y val="0.89409667541557303"/>
          <c:w val="0.70798731408573923"/>
          <c:h val="8.21770195392242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Units Sold vs Profit (Product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Pivots!$C$167</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Pivots!$B$168:$B$197</c:f>
              <c:numCache>
                <c:formatCode>0</c:formatCode>
                <c:ptCount val="30"/>
                <c:pt idx="0">
                  <c:v>4176</c:v>
                </c:pt>
                <c:pt idx="1">
                  <c:v>5009</c:v>
                </c:pt>
                <c:pt idx="2">
                  <c:v>3046</c:v>
                </c:pt>
                <c:pt idx="3">
                  <c:v>2112</c:v>
                </c:pt>
                <c:pt idx="4">
                  <c:v>3947</c:v>
                </c:pt>
                <c:pt idx="5">
                  <c:v>4355</c:v>
                </c:pt>
                <c:pt idx="6">
                  <c:v>6454</c:v>
                </c:pt>
                <c:pt idx="7">
                  <c:v>2109</c:v>
                </c:pt>
                <c:pt idx="8">
                  <c:v>3064</c:v>
                </c:pt>
                <c:pt idx="9">
                  <c:v>5536</c:v>
                </c:pt>
                <c:pt idx="10">
                  <c:v>3785</c:v>
                </c:pt>
                <c:pt idx="11">
                  <c:v>2350</c:v>
                </c:pt>
                <c:pt idx="12">
                  <c:v>2934</c:v>
                </c:pt>
                <c:pt idx="13">
                  <c:v>5363</c:v>
                </c:pt>
                <c:pt idx="14">
                  <c:v>3150</c:v>
                </c:pt>
                <c:pt idx="15">
                  <c:v>3025</c:v>
                </c:pt>
                <c:pt idx="16">
                  <c:v>3091</c:v>
                </c:pt>
                <c:pt idx="17">
                  <c:v>2543</c:v>
                </c:pt>
                <c:pt idx="18">
                  <c:v>4106</c:v>
                </c:pt>
                <c:pt idx="19">
                  <c:v>3401</c:v>
                </c:pt>
                <c:pt idx="20">
                  <c:v>9559</c:v>
                </c:pt>
                <c:pt idx="21">
                  <c:v>3843</c:v>
                </c:pt>
                <c:pt idx="22">
                  <c:v>4370</c:v>
                </c:pt>
                <c:pt idx="23">
                  <c:v>5103</c:v>
                </c:pt>
                <c:pt idx="24">
                  <c:v>3378</c:v>
                </c:pt>
                <c:pt idx="25">
                  <c:v>4639</c:v>
                </c:pt>
                <c:pt idx="26">
                  <c:v>4292</c:v>
                </c:pt>
                <c:pt idx="27">
                  <c:v>2208</c:v>
                </c:pt>
                <c:pt idx="28">
                  <c:v>3892</c:v>
                </c:pt>
                <c:pt idx="29">
                  <c:v>3309</c:v>
                </c:pt>
              </c:numCache>
            </c:numRef>
          </c:xVal>
          <c:yVal>
            <c:numRef>
              <c:f>Pivots!$C$168:$C$197</c:f>
              <c:numCache>
                <c:formatCode>"₹"\ #,##0.00</c:formatCode>
                <c:ptCount val="30"/>
                <c:pt idx="0">
                  <c:v>147880.54648499997</c:v>
                </c:pt>
                <c:pt idx="1">
                  <c:v>171350.79293499998</c:v>
                </c:pt>
                <c:pt idx="2">
                  <c:v>53516.683500000014</c:v>
                </c:pt>
                <c:pt idx="3">
                  <c:v>82602.817045000003</c:v>
                </c:pt>
                <c:pt idx="4">
                  <c:v>118267.56620000003</c:v>
                </c:pt>
                <c:pt idx="5">
                  <c:v>89384.969064999983</c:v>
                </c:pt>
                <c:pt idx="6">
                  <c:v>138266.34479</c:v>
                </c:pt>
                <c:pt idx="7">
                  <c:v>80830.431255000003</c:v>
                </c:pt>
                <c:pt idx="8">
                  <c:v>117459.284915</c:v>
                </c:pt>
                <c:pt idx="9">
                  <c:v>114846.15597000002</c:v>
                </c:pt>
                <c:pt idx="10">
                  <c:v>54437.197184999983</c:v>
                </c:pt>
                <c:pt idx="11">
                  <c:v>63599.510310000005</c:v>
                </c:pt>
                <c:pt idx="12">
                  <c:v>46659.202065000005</c:v>
                </c:pt>
                <c:pt idx="13">
                  <c:v>369932.81920000009</c:v>
                </c:pt>
                <c:pt idx="14">
                  <c:v>96860.85275999998</c:v>
                </c:pt>
                <c:pt idx="15">
                  <c:v>86627.94017500004</c:v>
                </c:pt>
                <c:pt idx="16">
                  <c:v>115492.69287500001</c:v>
                </c:pt>
                <c:pt idx="17">
                  <c:v>27735.639925000003</c:v>
                </c:pt>
                <c:pt idx="18">
                  <c:v>45569.32996000001</c:v>
                </c:pt>
                <c:pt idx="19">
                  <c:v>60445.418179999993</c:v>
                </c:pt>
                <c:pt idx="20">
                  <c:v>207110.18324500008</c:v>
                </c:pt>
                <c:pt idx="21">
                  <c:v>178089.13037999999</c:v>
                </c:pt>
                <c:pt idx="22">
                  <c:v>19999.130234999997</c:v>
                </c:pt>
                <c:pt idx="23">
                  <c:v>46022.911725000027</c:v>
                </c:pt>
                <c:pt idx="24">
                  <c:v>131023.08439500004</c:v>
                </c:pt>
                <c:pt idx="25">
                  <c:v>98893.818345000007</c:v>
                </c:pt>
                <c:pt idx="26">
                  <c:v>98308.938524999961</c:v>
                </c:pt>
                <c:pt idx="27">
                  <c:v>62112.709085000002</c:v>
                </c:pt>
                <c:pt idx="28">
                  <c:v>117875.50729499999</c:v>
                </c:pt>
                <c:pt idx="29">
                  <c:v>52747.853550000014</c:v>
                </c:pt>
              </c:numCache>
            </c:numRef>
          </c:yVal>
          <c:smooth val="0"/>
          <c:extLst>
            <c:ext xmlns:c16="http://schemas.microsoft.com/office/drawing/2014/chart" uri="{C3380CC4-5D6E-409C-BE32-E72D297353CC}">
              <c16:uniqueId val="{00000000-4E4A-4910-A11B-51B53A5B1A74}"/>
            </c:ext>
          </c:extLst>
        </c:ser>
        <c:dLbls>
          <c:showLegendKey val="0"/>
          <c:showVal val="0"/>
          <c:showCatName val="0"/>
          <c:showSerName val="0"/>
          <c:showPercent val="0"/>
          <c:showBubbleSize val="0"/>
        </c:dLbls>
        <c:axId val="48850543"/>
        <c:axId val="48861583"/>
      </c:scatterChart>
      <c:valAx>
        <c:axId val="48850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1583"/>
        <c:crosses val="autoZero"/>
        <c:crossBetween val="midCat"/>
      </c:valAx>
      <c:valAx>
        <c:axId val="48861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0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spc="0" baseline="0">
                <a:solidFill>
                  <a:sysClr val="windowText" lastClr="000000">
                    <a:lumMod val="65000"/>
                    <a:lumOff val="35000"/>
                  </a:sysClr>
                </a:solidFill>
              </a:rPr>
              <a:t>Units Sold vs Revenue (Product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Pivots!$H$167</c:f>
              <c:strCache>
                <c:ptCount val="1"/>
                <c:pt idx="0">
                  <c:v>Revenue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Pivots!$G$168:$G$197</c:f>
              <c:numCache>
                <c:formatCode>General</c:formatCode>
                <c:ptCount val="30"/>
                <c:pt idx="0">
                  <c:v>4176</c:v>
                </c:pt>
                <c:pt idx="1">
                  <c:v>5009</c:v>
                </c:pt>
                <c:pt idx="2">
                  <c:v>3046</c:v>
                </c:pt>
                <c:pt idx="3">
                  <c:v>2112</c:v>
                </c:pt>
                <c:pt idx="4">
                  <c:v>3947</c:v>
                </c:pt>
                <c:pt idx="5">
                  <c:v>4355</c:v>
                </c:pt>
                <c:pt idx="6">
                  <c:v>6454</c:v>
                </c:pt>
                <c:pt idx="7">
                  <c:v>2109</c:v>
                </c:pt>
                <c:pt idx="8">
                  <c:v>3064</c:v>
                </c:pt>
                <c:pt idx="9">
                  <c:v>5536</c:v>
                </c:pt>
                <c:pt idx="10">
                  <c:v>3785</c:v>
                </c:pt>
                <c:pt idx="11">
                  <c:v>2350</c:v>
                </c:pt>
                <c:pt idx="12">
                  <c:v>2934</c:v>
                </c:pt>
                <c:pt idx="13">
                  <c:v>5363</c:v>
                </c:pt>
                <c:pt idx="14">
                  <c:v>3150</c:v>
                </c:pt>
                <c:pt idx="15">
                  <c:v>3025</c:v>
                </c:pt>
                <c:pt idx="16">
                  <c:v>3091</c:v>
                </c:pt>
                <c:pt idx="17">
                  <c:v>2543</c:v>
                </c:pt>
                <c:pt idx="18">
                  <c:v>4106</c:v>
                </c:pt>
                <c:pt idx="19">
                  <c:v>3401</c:v>
                </c:pt>
                <c:pt idx="20">
                  <c:v>9559</c:v>
                </c:pt>
                <c:pt idx="21">
                  <c:v>3843</c:v>
                </c:pt>
                <c:pt idx="22">
                  <c:v>4370</c:v>
                </c:pt>
                <c:pt idx="23">
                  <c:v>5103</c:v>
                </c:pt>
                <c:pt idx="24">
                  <c:v>3378</c:v>
                </c:pt>
                <c:pt idx="25">
                  <c:v>4639</c:v>
                </c:pt>
                <c:pt idx="26">
                  <c:v>4292</c:v>
                </c:pt>
                <c:pt idx="27">
                  <c:v>2208</c:v>
                </c:pt>
                <c:pt idx="28">
                  <c:v>3892</c:v>
                </c:pt>
                <c:pt idx="29">
                  <c:v>3309</c:v>
                </c:pt>
              </c:numCache>
            </c:numRef>
          </c:xVal>
          <c:yVal>
            <c:numRef>
              <c:f>Pivots!$H$168:$H$197</c:f>
              <c:numCache>
                <c:formatCode>"₹"\ #,##0.00</c:formatCode>
                <c:ptCount val="30"/>
                <c:pt idx="0">
                  <c:v>543573.39648500015</c:v>
                </c:pt>
                <c:pt idx="1">
                  <c:v>582023.64293500001</c:v>
                </c:pt>
                <c:pt idx="2">
                  <c:v>233665.53349999999</c:v>
                </c:pt>
                <c:pt idx="3">
                  <c:v>357441.36704500002</c:v>
                </c:pt>
                <c:pt idx="4">
                  <c:v>437865.16619999992</c:v>
                </c:pt>
                <c:pt idx="5">
                  <c:v>410998.91906500008</c:v>
                </c:pt>
                <c:pt idx="6">
                  <c:v>627317.49479000003</c:v>
                </c:pt>
                <c:pt idx="7">
                  <c:v>247142.73125500005</c:v>
                </c:pt>
                <c:pt idx="8">
                  <c:v>455404.58491500007</c:v>
                </c:pt>
                <c:pt idx="9">
                  <c:v>374214.00597000011</c:v>
                </c:pt>
                <c:pt idx="10">
                  <c:v>473462.09718500008</c:v>
                </c:pt>
                <c:pt idx="11">
                  <c:v>187281.46030999997</c:v>
                </c:pt>
                <c:pt idx="12">
                  <c:v>615170.85206499987</c:v>
                </c:pt>
                <c:pt idx="13">
                  <c:v>1253045.4691999997</c:v>
                </c:pt>
                <c:pt idx="14">
                  <c:v>342499.95275999996</c:v>
                </c:pt>
                <c:pt idx="15">
                  <c:v>419231.54017500003</c:v>
                </c:pt>
                <c:pt idx="16">
                  <c:v>445852.44287500007</c:v>
                </c:pt>
                <c:pt idx="17">
                  <c:v>141092.239925</c:v>
                </c:pt>
                <c:pt idx="18">
                  <c:v>228865.37996000002</c:v>
                </c:pt>
                <c:pt idx="19">
                  <c:v>294130.26818000001</c:v>
                </c:pt>
                <c:pt idx="20">
                  <c:v>801822.48324500001</c:v>
                </c:pt>
                <c:pt idx="21">
                  <c:v>653203.63037999987</c:v>
                </c:pt>
                <c:pt idx="22">
                  <c:v>315043.88023499999</c:v>
                </c:pt>
                <c:pt idx="23">
                  <c:v>356475.01172500005</c:v>
                </c:pt>
                <c:pt idx="24">
                  <c:v>450056.13439500006</c:v>
                </c:pt>
                <c:pt idx="25">
                  <c:v>348001.76834500005</c:v>
                </c:pt>
                <c:pt idx="26">
                  <c:v>291432.28852499998</c:v>
                </c:pt>
                <c:pt idx="27">
                  <c:v>180666.45908500001</c:v>
                </c:pt>
                <c:pt idx="28">
                  <c:v>456496.65729499998</c:v>
                </c:pt>
                <c:pt idx="29">
                  <c:v>165314.50355000005</c:v>
                </c:pt>
              </c:numCache>
            </c:numRef>
          </c:yVal>
          <c:smooth val="0"/>
          <c:extLst>
            <c:ext xmlns:c16="http://schemas.microsoft.com/office/drawing/2014/chart" uri="{C3380CC4-5D6E-409C-BE32-E72D297353CC}">
              <c16:uniqueId val="{00000000-7102-4586-942F-9C36ADA29FAE}"/>
            </c:ext>
          </c:extLst>
        </c:ser>
        <c:dLbls>
          <c:showLegendKey val="0"/>
          <c:showVal val="0"/>
          <c:showCatName val="0"/>
          <c:showSerName val="0"/>
          <c:showPercent val="0"/>
          <c:showBubbleSize val="0"/>
        </c:dLbls>
        <c:axId val="135312911"/>
        <c:axId val="135306671"/>
      </c:scatterChart>
      <c:valAx>
        <c:axId val="13531291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06671"/>
        <c:crosses val="autoZero"/>
        <c:crossBetween val="midCat"/>
      </c:valAx>
      <c:valAx>
        <c:axId val="135306671"/>
        <c:scaling>
          <c:orientation val="minMax"/>
        </c:scaling>
        <c:delete val="0"/>
        <c:axPos val="l"/>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2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48126</xdr:colOff>
      <xdr:row>60</xdr:row>
      <xdr:rowOff>136357</xdr:rowOff>
    </xdr:to>
    <xdr:sp macro="" textlink="">
      <xdr:nvSpPr>
        <xdr:cNvPr id="3" name="Rectangle 2">
          <a:extLst>
            <a:ext uri="{FF2B5EF4-FFF2-40B4-BE49-F238E27FC236}">
              <a16:creationId xmlns:a16="http://schemas.microsoft.com/office/drawing/2014/main" id="{F4BB249F-D6C1-89E9-1E1F-00D98C905326}"/>
            </a:ext>
          </a:extLst>
        </xdr:cNvPr>
        <xdr:cNvSpPr/>
      </xdr:nvSpPr>
      <xdr:spPr>
        <a:xfrm>
          <a:off x="0" y="0"/>
          <a:ext cx="16507326" cy="11109157"/>
        </a:xfrm>
        <a:prstGeom prst="rect">
          <a:avLst/>
        </a:prstGeom>
        <a:solidFill>
          <a:srgbClr val="F5F7F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6B7280"/>
            </a:solidFill>
          </a:endParaRPr>
        </a:p>
      </xdr:txBody>
    </xdr:sp>
    <xdr:clientData/>
  </xdr:twoCellAnchor>
  <xdr:twoCellAnchor>
    <xdr:from>
      <xdr:col>0</xdr:col>
      <xdr:colOff>0</xdr:colOff>
      <xdr:row>0</xdr:row>
      <xdr:rowOff>0</xdr:rowOff>
    </xdr:from>
    <xdr:to>
      <xdr:col>27</xdr:col>
      <xdr:colOff>64800</xdr:colOff>
      <xdr:row>6</xdr:row>
      <xdr:rowOff>142400</xdr:rowOff>
    </xdr:to>
    <xdr:sp macro="" textlink="">
      <xdr:nvSpPr>
        <xdr:cNvPr id="6" name="Rectangle 5">
          <a:extLst>
            <a:ext uri="{FF2B5EF4-FFF2-40B4-BE49-F238E27FC236}">
              <a16:creationId xmlns:a16="http://schemas.microsoft.com/office/drawing/2014/main" id="{C3633961-5CB8-CDF5-03D4-BB645A8C1069}"/>
            </a:ext>
          </a:extLst>
        </xdr:cNvPr>
        <xdr:cNvSpPr/>
      </xdr:nvSpPr>
      <xdr:spPr>
        <a:xfrm>
          <a:off x="0" y="0"/>
          <a:ext cx="16524000" cy="1239680"/>
        </a:xfrm>
        <a:prstGeom prst="rect">
          <a:avLst/>
        </a:prstGeom>
        <a:solidFill>
          <a:srgbClr val="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ln>
            <a:solidFill>
              <a:schemeClr val="bg2">
                <a:lumMod val="25000"/>
              </a:schemeClr>
            </a:solidFill>
          </a:endParaRPr>
        </a:p>
      </xdr:txBody>
    </xdr:sp>
    <xdr:clientData/>
  </xdr:twoCellAnchor>
  <xdr:twoCellAnchor>
    <xdr:from>
      <xdr:col>7</xdr:col>
      <xdr:colOff>0</xdr:colOff>
      <xdr:row>7</xdr:row>
      <xdr:rowOff>43181</xdr:rowOff>
    </xdr:from>
    <xdr:to>
      <xdr:col>13</xdr:col>
      <xdr:colOff>53340</xdr:colOff>
      <xdr:row>17</xdr:row>
      <xdr:rowOff>22860</xdr:rowOff>
    </xdr:to>
    <xdr:graphicFrame macro="">
      <xdr:nvGraphicFramePr>
        <xdr:cNvPr id="8" name="Chart 7">
          <a:extLst>
            <a:ext uri="{FF2B5EF4-FFF2-40B4-BE49-F238E27FC236}">
              <a16:creationId xmlns:a16="http://schemas.microsoft.com/office/drawing/2014/main" id="{47E25DD0-5F36-4E1C-9E64-7FBF2178C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81549</xdr:colOff>
      <xdr:row>17</xdr:row>
      <xdr:rowOff>114300</xdr:rowOff>
    </xdr:from>
    <xdr:to>
      <xdr:col>6</xdr:col>
      <xdr:colOff>0</xdr:colOff>
      <xdr:row>27</xdr:row>
      <xdr:rowOff>0</xdr:rowOff>
    </xdr:to>
    <xdr:graphicFrame macro="">
      <xdr:nvGraphicFramePr>
        <xdr:cNvPr id="13" name="Chart 12">
          <a:extLst>
            <a:ext uri="{FF2B5EF4-FFF2-40B4-BE49-F238E27FC236}">
              <a16:creationId xmlns:a16="http://schemas.microsoft.com/office/drawing/2014/main" id="{88F88E5D-B2C8-4046-88B2-423C95B51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198120</xdr:colOff>
      <xdr:row>0</xdr:row>
      <xdr:rowOff>0</xdr:rowOff>
    </xdr:from>
    <xdr:to>
      <xdr:col>15</xdr:col>
      <xdr:colOff>0</xdr:colOff>
      <xdr:row>2</xdr:row>
      <xdr:rowOff>12834</xdr:rowOff>
    </xdr:to>
    <xdr:sp macro="" textlink="">
      <xdr:nvSpPr>
        <xdr:cNvPr id="15" name="TextBox 14">
          <a:extLst>
            <a:ext uri="{FF2B5EF4-FFF2-40B4-BE49-F238E27FC236}">
              <a16:creationId xmlns:a16="http://schemas.microsoft.com/office/drawing/2014/main" id="{A53EB4F5-C7AF-289A-437B-4D811EBACE46}"/>
            </a:ext>
          </a:extLst>
        </xdr:cNvPr>
        <xdr:cNvSpPr txBox="1"/>
      </xdr:nvSpPr>
      <xdr:spPr>
        <a:xfrm>
          <a:off x="4465320" y="0"/>
          <a:ext cx="4678680" cy="378594"/>
        </a:xfrm>
        <a:prstGeom prst="rect">
          <a:avLst/>
        </a:prstGeom>
        <a:solidFill>
          <a:srgbClr val="D6E4FF"/>
        </a:solidFill>
        <a:ln>
          <a:noFill/>
        </a:ln>
        <a:effectLst>
          <a:outerShdw blurRad="1270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900" b="1">
              <a:ln w="3175">
                <a:noFill/>
                <a:prstDash val="solid"/>
              </a:ln>
              <a:solidFill>
                <a:srgbClr val="1F2937"/>
              </a:solidFill>
              <a:effectLst/>
              <a:latin typeface="+mn-lt"/>
              <a:ea typeface="+mn-ea"/>
              <a:cs typeface="+mn-cs"/>
            </a:rPr>
            <a:t>FMCG Sales &amp; Profitability Dashboard</a:t>
          </a:r>
        </a:p>
      </xdr:txBody>
    </xdr:sp>
    <xdr:clientData/>
  </xdr:twoCellAnchor>
  <xdr:twoCellAnchor>
    <xdr:from>
      <xdr:col>13</xdr:col>
      <xdr:colOff>0</xdr:colOff>
      <xdr:row>7</xdr:row>
      <xdr:rowOff>136357</xdr:rowOff>
    </xdr:from>
    <xdr:to>
      <xdr:col>16</xdr:col>
      <xdr:colOff>533401</xdr:colOff>
      <xdr:row>16</xdr:row>
      <xdr:rowOff>30480</xdr:rowOff>
    </xdr:to>
    <xdr:graphicFrame macro="">
      <xdr:nvGraphicFramePr>
        <xdr:cNvPr id="19" name="Chart 18">
          <a:extLst>
            <a:ext uri="{FF2B5EF4-FFF2-40B4-BE49-F238E27FC236}">
              <a16:creationId xmlns:a16="http://schemas.microsoft.com/office/drawing/2014/main" id="{AAC2D859-6CC9-4AAB-9148-BC703DF7E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182880</xdr:colOff>
      <xdr:row>17</xdr:row>
      <xdr:rowOff>99060</xdr:rowOff>
    </xdr:from>
    <xdr:to>
      <xdr:col>19</xdr:col>
      <xdr:colOff>0</xdr:colOff>
      <xdr:row>26</xdr:row>
      <xdr:rowOff>99060</xdr:rowOff>
    </xdr:to>
    <xdr:graphicFrame macro="">
      <xdr:nvGraphicFramePr>
        <xdr:cNvPr id="20" name="Chart 19">
          <a:extLst>
            <a:ext uri="{FF2B5EF4-FFF2-40B4-BE49-F238E27FC236}">
              <a16:creationId xmlns:a16="http://schemas.microsoft.com/office/drawing/2014/main" id="{F6592817-29D6-4A51-BCC4-0DB161088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17</xdr:row>
      <xdr:rowOff>87874</xdr:rowOff>
    </xdr:from>
    <xdr:to>
      <xdr:col>23</xdr:col>
      <xdr:colOff>91441</xdr:colOff>
      <xdr:row>26</xdr:row>
      <xdr:rowOff>76200</xdr:rowOff>
    </xdr:to>
    <xdr:graphicFrame macro="">
      <xdr:nvGraphicFramePr>
        <xdr:cNvPr id="21" name="Chart 20">
          <a:extLst>
            <a:ext uri="{FF2B5EF4-FFF2-40B4-BE49-F238E27FC236}">
              <a16:creationId xmlns:a16="http://schemas.microsoft.com/office/drawing/2014/main" id="{8BB0432D-04CB-4063-AED5-90E8D5BF0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609599</xdr:colOff>
      <xdr:row>17</xdr:row>
      <xdr:rowOff>114300</xdr:rowOff>
    </xdr:from>
    <xdr:to>
      <xdr:col>10</xdr:col>
      <xdr:colOff>373380</xdr:colOff>
      <xdr:row>27</xdr:row>
      <xdr:rowOff>15240</xdr:rowOff>
    </xdr:to>
    <xdr:graphicFrame macro="">
      <xdr:nvGraphicFramePr>
        <xdr:cNvPr id="24" name="Chart 23">
          <a:extLst>
            <a:ext uri="{FF2B5EF4-FFF2-40B4-BE49-F238E27FC236}">
              <a16:creationId xmlns:a16="http://schemas.microsoft.com/office/drawing/2014/main" id="{E13919E5-C1B0-4CAC-B45F-04D3E6B9B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17</xdr:row>
      <xdr:rowOff>99060</xdr:rowOff>
    </xdr:from>
    <xdr:to>
      <xdr:col>15</xdr:col>
      <xdr:colOff>114300</xdr:colOff>
      <xdr:row>26</xdr:row>
      <xdr:rowOff>167640</xdr:rowOff>
    </xdr:to>
    <xdr:graphicFrame macro="">
      <xdr:nvGraphicFramePr>
        <xdr:cNvPr id="26" name="Chart 25">
          <a:extLst>
            <a:ext uri="{FF2B5EF4-FFF2-40B4-BE49-F238E27FC236}">
              <a16:creationId xmlns:a16="http://schemas.microsoft.com/office/drawing/2014/main" id="{CE276BA3-0BDF-480E-AA4D-11A771210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99906</xdr:colOff>
      <xdr:row>7</xdr:row>
      <xdr:rowOff>53340</xdr:rowOff>
    </xdr:from>
    <xdr:to>
      <xdr:col>7</xdr:col>
      <xdr:colOff>0</xdr:colOff>
      <xdr:row>17</xdr:row>
      <xdr:rowOff>22860</xdr:rowOff>
    </xdr:to>
    <xdr:graphicFrame macro="">
      <xdr:nvGraphicFramePr>
        <xdr:cNvPr id="27" name="Chart 26">
          <a:extLst>
            <a:ext uri="{FF2B5EF4-FFF2-40B4-BE49-F238E27FC236}">
              <a16:creationId xmlns:a16="http://schemas.microsoft.com/office/drawing/2014/main" id="{4BFEC020-FA03-43CC-BCAF-5E99D0504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335280</xdr:colOff>
      <xdr:row>0</xdr:row>
      <xdr:rowOff>0</xdr:rowOff>
    </xdr:from>
    <xdr:to>
      <xdr:col>23</xdr:col>
      <xdr:colOff>45720</xdr:colOff>
      <xdr:row>16</xdr:row>
      <xdr:rowOff>121920</xdr:rowOff>
    </xdr:to>
    <xdr:sp macro="" textlink="">
      <xdr:nvSpPr>
        <xdr:cNvPr id="30" name="Rectangle: Rounded Corners 29">
          <a:extLst>
            <a:ext uri="{FF2B5EF4-FFF2-40B4-BE49-F238E27FC236}">
              <a16:creationId xmlns:a16="http://schemas.microsoft.com/office/drawing/2014/main" id="{706510C4-D51B-CB27-57F8-2CD3A8EB7BC3}"/>
            </a:ext>
          </a:extLst>
        </xdr:cNvPr>
        <xdr:cNvSpPr/>
      </xdr:nvSpPr>
      <xdr:spPr>
        <a:xfrm>
          <a:off x="10698480" y="0"/>
          <a:ext cx="3368040" cy="3048000"/>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563880</xdr:colOff>
      <xdr:row>1</xdr:row>
      <xdr:rowOff>83821</xdr:rowOff>
    </xdr:from>
    <xdr:to>
      <xdr:col>20</xdr:col>
      <xdr:colOff>167640</xdr:colOff>
      <xdr:row>7</xdr:row>
      <xdr:rowOff>137161</xdr:rowOff>
    </xdr:to>
    <mc:AlternateContent xmlns:mc="http://schemas.openxmlformats.org/markup-compatibility/2006">
      <mc:Choice xmlns:a14="http://schemas.microsoft.com/office/drawing/2010/main" Requires="a14">
        <xdr:graphicFrame macro="">
          <xdr:nvGraphicFramePr>
            <xdr:cNvPr id="29" name="Product_Category">
              <a:extLst>
                <a:ext uri="{FF2B5EF4-FFF2-40B4-BE49-F238E27FC236}">
                  <a16:creationId xmlns:a16="http://schemas.microsoft.com/office/drawing/2014/main" id="{444ECF83-8131-4BFE-A26E-FA9B81A8C6A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927080" y="266701"/>
              <a:ext cx="143256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259080</xdr:colOff>
      <xdr:row>1</xdr:row>
      <xdr:rowOff>83821</xdr:rowOff>
    </xdr:from>
    <xdr:to>
      <xdr:col>22</xdr:col>
      <xdr:colOff>480060</xdr:colOff>
      <xdr:row>7</xdr:row>
      <xdr:rowOff>144780</xdr:rowOff>
    </xdr:to>
    <mc:AlternateContent xmlns:mc="http://schemas.openxmlformats.org/markup-compatibility/2006">
      <mc:Choice xmlns:a14="http://schemas.microsoft.com/office/drawing/2010/main" Requires="a14">
        <xdr:graphicFrame macro="">
          <xdr:nvGraphicFramePr>
            <xdr:cNvPr id="31" name="Sales_Channel">
              <a:extLst>
                <a:ext uri="{FF2B5EF4-FFF2-40B4-BE49-F238E27FC236}">
                  <a16:creationId xmlns:a16="http://schemas.microsoft.com/office/drawing/2014/main" id="{F7E4C9B8-D5CB-415E-BFDA-9F806961DBD4}"/>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2451080" y="266701"/>
              <a:ext cx="144018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556260</xdr:colOff>
      <xdr:row>8</xdr:row>
      <xdr:rowOff>60960</xdr:rowOff>
    </xdr:from>
    <xdr:to>
      <xdr:col>20</xdr:col>
      <xdr:colOff>175260</xdr:colOff>
      <xdr:row>14</xdr:row>
      <xdr:rowOff>152400</xdr:rowOff>
    </xdr:to>
    <mc:AlternateContent xmlns:mc="http://schemas.openxmlformats.org/markup-compatibility/2006">
      <mc:Choice xmlns:a14="http://schemas.microsoft.com/office/drawing/2010/main" Requires="a14">
        <xdr:graphicFrame macro="">
          <xdr:nvGraphicFramePr>
            <xdr:cNvPr id="33" name="Promotion_Type">
              <a:extLst>
                <a:ext uri="{FF2B5EF4-FFF2-40B4-BE49-F238E27FC236}">
                  <a16:creationId xmlns:a16="http://schemas.microsoft.com/office/drawing/2014/main" id="{50332680-210D-427C-A9AC-0B7BCB1D346B}"/>
                </a:ext>
              </a:extLst>
            </xdr:cNvPr>
            <xdr:cNvGraphicFramePr/>
          </xdr:nvGraphicFramePr>
          <xdr:xfrm>
            <a:off x="0" y="0"/>
            <a:ext cx="0" cy="0"/>
          </xdr:xfrm>
          <a:graphic>
            <a:graphicData uri="http://schemas.microsoft.com/office/drawing/2010/slicer">
              <sle:slicer xmlns:sle="http://schemas.microsoft.com/office/drawing/2010/slicer" name="Promotion_Type"/>
            </a:graphicData>
          </a:graphic>
        </xdr:graphicFrame>
      </mc:Choice>
      <mc:Fallback>
        <xdr:sp macro="" textlink="">
          <xdr:nvSpPr>
            <xdr:cNvPr id="0" name=""/>
            <xdr:cNvSpPr>
              <a:spLocks noTextEdit="1"/>
            </xdr:cNvSpPr>
          </xdr:nvSpPr>
          <xdr:spPr>
            <a:xfrm>
              <a:off x="10919460" y="1524000"/>
              <a:ext cx="1447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266700</xdr:colOff>
      <xdr:row>8</xdr:row>
      <xdr:rowOff>45721</xdr:rowOff>
    </xdr:from>
    <xdr:to>
      <xdr:col>22</xdr:col>
      <xdr:colOff>449580</xdr:colOff>
      <xdr:row>14</xdr:row>
      <xdr:rowOff>160020</xdr:rowOff>
    </xdr:to>
    <mc:AlternateContent xmlns:mc="http://schemas.openxmlformats.org/markup-compatibility/2006">
      <mc:Choice xmlns:a14="http://schemas.microsoft.com/office/drawing/2010/main" Requires="a14">
        <xdr:graphicFrame macro="">
          <xdr:nvGraphicFramePr>
            <xdr:cNvPr id="35" name="Month_Name">
              <a:extLst>
                <a:ext uri="{FF2B5EF4-FFF2-40B4-BE49-F238E27FC236}">
                  <a16:creationId xmlns:a16="http://schemas.microsoft.com/office/drawing/2014/main" id="{2F1955E2-465B-46A2-B452-9A9812F39D2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2458700" y="1508761"/>
              <a:ext cx="140208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72390</xdr:colOff>
      <xdr:row>2</xdr:row>
      <xdr:rowOff>105490</xdr:rowOff>
    </xdr:from>
    <xdr:to>
      <xdr:col>3</xdr:col>
      <xdr:colOff>295590</xdr:colOff>
      <xdr:row>4</xdr:row>
      <xdr:rowOff>36910</xdr:rowOff>
    </xdr:to>
    <xdr:sp macro="" textlink="">
      <xdr:nvSpPr>
        <xdr:cNvPr id="38" name="TextBox 37">
          <a:extLst>
            <a:ext uri="{FF2B5EF4-FFF2-40B4-BE49-F238E27FC236}">
              <a16:creationId xmlns:a16="http://schemas.microsoft.com/office/drawing/2014/main" id="{5B890021-1ADB-3446-D63A-64497F68CB96}"/>
            </a:ext>
          </a:extLst>
        </xdr:cNvPr>
        <xdr:cNvSpPr txBox="1"/>
      </xdr:nvSpPr>
      <xdr:spPr>
        <a:xfrm>
          <a:off x="72390" y="471250"/>
          <a:ext cx="2052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b="1">
              <a:ln>
                <a:noFill/>
              </a:ln>
              <a:solidFill>
                <a:schemeClr val="bg2">
                  <a:lumMod val="25000"/>
                </a:schemeClr>
              </a:solidFill>
              <a:effectLst>
                <a:outerShdw blurRad="50800" dist="38100" dir="5400000" algn="t" rotWithShape="0">
                  <a:prstClr val="black">
                    <a:alpha val="40000"/>
                  </a:prstClr>
                </a:outerShdw>
              </a:effectLst>
              <a:latin typeface="+mn-lt"/>
              <a:ea typeface="+mn-ea"/>
              <a:cs typeface="+mn-cs"/>
            </a:rPr>
            <a:t>💵</a:t>
          </a:r>
          <a:r>
            <a:rPr lang="en-IN" sz="1300" b="0">
              <a:ln>
                <a:noFill/>
              </a:ln>
              <a:solidFill>
                <a:schemeClr val="bg2">
                  <a:lumMod val="25000"/>
                </a:schemeClr>
              </a:solidFill>
              <a:effectLst>
                <a:outerShdw blurRad="50800" dist="38100" dir="5400000" algn="t" rotWithShape="0">
                  <a:prstClr val="black">
                    <a:alpha val="40000"/>
                  </a:prstClr>
                </a:outerShdw>
              </a:effectLst>
              <a:latin typeface="+mn-lt"/>
              <a:ea typeface="+mn-ea"/>
              <a:cs typeface="+mn-cs"/>
            </a:rPr>
            <a:t>Total Net revenue</a:t>
          </a:r>
        </a:p>
      </xdr:txBody>
    </xdr:sp>
    <xdr:clientData/>
  </xdr:twoCellAnchor>
  <xdr:twoCellAnchor>
    <xdr:from>
      <xdr:col>0</xdr:col>
      <xdr:colOff>72390</xdr:colOff>
      <xdr:row>4</xdr:row>
      <xdr:rowOff>144780</xdr:rowOff>
    </xdr:from>
    <xdr:to>
      <xdr:col>3</xdr:col>
      <xdr:colOff>295590</xdr:colOff>
      <xdr:row>6</xdr:row>
      <xdr:rowOff>76200</xdr:rowOff>
    </xdr:to>
    <xdr:sp macro="" textlink="Pivots!B6">
      <xdr:nvSpPr>
        <xdr:cNvPr id="41" name="TextBox 40">
          <a:extLst>
            <a:ext uri="{FF2B5EF4-FFF2-40B4-BE49-F238E27FC236}">
              <a16:creationId xmlns:a16="http://schemas.microsoft.com/office/drawing/2014/main" id="{285313EF-44CA-44E7-9668-FD4269F40726}"/>
            </a:ext>
          </a:extLst>
        </xdr:cNvPr>
        <xdr:cNvSpPr txBox="1"/>
      </xdr:nvSpPr>
      <xdr:spPr>
        <a:xfrm>
          <a:off x="72390" y="876300"/>
          <a:ext cx="2052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7BF5C0-B072-47F8-8005-45E865DA39E1}" type="TxLink">
            <a:rPr lang="en-US" sz="16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pPr/>
            <a:t>1,26,88,791.36</a:t>
          </a:fld>
          <a:endParaRPr lang="en-IN" sz="16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4</xdr:col>
      <xdr:colOff>73660</xdr:colOff>
      <xdr:row>2</xdr:row>
      <xdr:rowOff>105490</xdr:rowOff>
    </xdr:from>
    <xdr:to>
      <xdr:col>7</xdr:col>
      <xdr:colOff>296860</xdr:colOff>
      <xdr:row>4</xdr:row>
      <xdr:rowOff>36910</xdr:rowOff>
    </xdr:to>
    <xdr:sp macro="" textlink="">
      <xdr:nvSpPr>
        <xdr:cNvPr id="44" name="TextBox 43">
          <a:extLst>
            <a:ext uri="{FF2B5EF4-FFF2-40B4-BE49-F238E27FC236}">
              <a16:creationId xmlns:a16="http://schemas.microsoft.com/office/drawing/2014/main" id="{043A1513-A8AB-43E0-B187-7BCA95953B6C}"/>
            </a:ext>
          </a:extLst>
        </xdr:cNvPr>
        <xdr:cNvSpPr txBox="1"/>
      </xdr:nvSpPr>
      <xdr:spPr>
        <a:xfrm>
          <a:off x="2512060" y="471250"/>
          <a:ext cx="2052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a:ln>
                <a:noFill/>
              </a:ln>
              <a:solidFill>
                <a:schemeClr val="dk1"/>
              </a:solidFill>
              <a:effectLst>
                <a:outerShdw blurRad="50800" dist="38100" dir="5400000" algn="t" rotWithShape="0">
                  <a:prstClr val="black">
                    <a:alpha val="40000"/>
                  </a:prstClr>
                </a:outerShdw>
              </a:effectLst>
              <a:latin typeface="+mn-lt"/>
              <a:ea typeface="+mn-ea"/>
              <a:cs typeface="+mn-cs"/>
            </a:rPr>
            <a:t>💸</a:t>
          </a:r>
          <a:r>
            <a:rPr lang="en-IN" sz="1300" b="0">
              <a:ln>
                <a:noFill/>
              </a:ln>
              <a:solidFill>
                <a:schemeClr val="bg2">
                  <a:lumMod val="25000"/>
                </a:schemeClr>
              </a:solidFill>
              <a:effectLst>
                <a:outerShdw blurRad="50800" dist="38100" dir="5400000" algn="t" rotWithShape="0">
                  <a:prstClr val="black">
                    <a:alpha val="40000"/>
                  </a:prstClr>
                </a:outerShdw>
              </a:effectLst>
              <a:latin typeface="+mn-lt"/>
              <a:ea typeface="+mn-ea"/>
              <a:cs typeface="+mn-cs"/>
            </a:rPr>
            <a:t>Total Profit</a:t>
          </a:r>
        </a:p>
      </xdr:txBody>
    </xdr:sp>
    <xdr:clientData/>
  </xdr:twoCellAnchor>
  <xdr:twoCellAnchor>
    <xdr:from>
      <xdr:col>4</xdr:col>
      <xdr:colOff>73660</xdr:colOff>
      <xdr:row>4</xdr:row>
      <xdr:rowOff>144780</xdr:rowOff>
    </xdr:from>
    <xdr:to>
      <xdr:col>7</xdr:col>
      <xdr:colOff>296860</xdr:colOff>
      <xdr:row>6</xdr:row>
      <xdr:rowOff>76200</xdr:rowOff>
    </xdr:to>
    <xdr:sp macro="" textlink="Pivots!C6">
      <xdr:nvSpPr>
        <xdr:cNvPr id="45" name="TextBox 44">
          <a:extLst>
            <a:ext uri="{FF2B5EF4-FFF2-40B4-BE49-F238E27FC236}">
              <a16:creationId xmlns:a16="http://schemas.microsoft.com/office/drawing/2014/main" id="{E8326293-3DDC-4225-90E4-C28228D96DCC}"/>
            </a:ext>
          </a:extLst>
        </xdr:cNvPr>
        <xdr:cNvSpPr txBox="1"/>
      </xdr:nvSpPr>
      <xdr:spPr>
        <a:xfrm>
          <a:off x="2512060" y="876300"/>
          <a:ext cx="2052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4F4285-F7E6-401C-B06A-5DE42781309F}" type="TxLink">
            <a:rPr lang="en-US" sz="16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pPr marL="0" indent="0"/>
            <a:t>30,93,949.46</a:t>
          </a:fld>
          <a:endParaRPr lang="en-IN" sz="1600" b="1" i="0" u="none" strike="noStrike">
            <a:solidFill>
              <a:schemeClr val="tx1"/>
            </a:solidFill>
            <a:effectLst>
              <a:outerShdw blurRad="50800" dist="38100" dir="2700000" algn="tl" rotWithShape="0">
                <a:prstClr val="black">
                  <a:alpha val="40000"/>
                </a:prstClr>
              </a:outerShdw>
            </a:effectLst>
            <a:latin typeface="Calibri"/>
            <a:ea typeface="Calibri"/>
            <a:cs typeface="Calibri"/>
          </a:endParaRPr>
        </a:p>
      </xdr:txBody>
    </xdr:sp>
    <xdr:clientData/>
  </xdr:twoCellAnchor>
  <xdr:twoCellAnchor>
    <xdr:from>
      <xdr:col>8</xdr:col>
      <xdr:colOff>74930</xdr:colOff>
      <xdr:row>2</xdr:row>
      <xdr:rowOff>105490</xdr:rowOff>
    </xdr:from>
    <xdr:to>
      <xdr:col>11</xdr:col>
      <xdr:colOff>298130</xdr:colOff>
      <xdr:row>4</xdr:row>
      <xdr:rowOff>36910</xdr:rowOff>
    </xdr:to>
    <xdr:sp macro="" textlink="">
      <xdr:nvSpPr>
        <xdr:cNvPr id="46" name="TextBox 45">
          <a:extLst>
            <a:ext uri="{FF2B5EF4-FFF2-40B4-BE49-F238E27FC236}">
              <a16:creationId xmlns:a16="http://schemas.microsoft.com/office/drawing/2014/main" id="{575CE421-0A0C-4873-B488-BE2897105663}"/>
            </a:ext>
          </a:extLst>
        </xdr:cNvPr>
        <xdr:cNvSpPr txBox="1"/>
      </xdr:nvSpPr>
      <xdr:spPr>
        <a:xfrm>
          <a:off x="4951730" y="471250"/>
          <a:ext cx="2052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a:ln>
                <a:noFill/>
              </a:ln>
              <a:solidFill>
                <a:schemeClr val="dk1"/>
              </a:solidFill>
              <a:effectLst>
                <a:outerShdw blurRad="50800" dist="38100" dir="5400000" algn="t" rotWithShape="0">
                  <a:prstClr val="black">
                    <a:alpha val="40000"/>
                  </a:prstClr>
                </a:outerShdw>
              </a:effectLst>
              <a:latin typeface="+mn-lt"/>
              <a:ea typeface="+mn-ea"/>
              <a:cs typeface="+mn-cs"/>
            </a:rPr>
            <a:t>🛒</a:t>
          </a:r>
          <a:r>
            <a:rPr lang="en-IN" sz="1300" b="0">
              <a:ln>
                <a:noFill/>
              </a:ln>
              <a:solidFill>
                <a:schemeClr val="bg2">
                  <a:lumMod val="25000"/>
                </a:schemeClr>
              </a:solidFill>
              <a:effectLst>
                <a:outerShdw blurRad="50800" dist="38100" dir="5400000" algn="t" rotWithShape="0">
                  <a:prstClr val="black">
                    <a:alpha val="40000"/>
                  </a:prstClr>
                </a:outerShdw>
              </a:effectLst>
              <a:latin typeface="+mn-lt"/>
              <a:ea typeface="+mn-ea"/>
              <a:cs typeface="+mn-cs"/>
            </a:rPr>
            <a:t>No of Units sold</a:t>
          </a:r>
        </a:p>
      </xdr:txBody>
    </xdr:sp>
    <xdr:clientData/>
  </xdr:twoCellAnchor>
  <xdr:twoCellAnchor>
    <xdr:from>
      <xdr:col>8</xdr:col>
      <xdr:colOff>200930</xdr:colOff>
      <xdr:row>4</xdr:row>
      <xdr:rowOff>144780</xdr:rowOff>
    </xdr:from>
    <xdr:to>
      <xdr:col>11</xdr:col>
      <xdr:colOff>172130</xdr:colOff>
      <xdr:row>6</xdr:row>
      <xdr:rowOff>76200</xdr:rowOff>
    </xdr:to>
    <xdr:sp macro="" textlink="Pivots!A6">
      <xdr:nvSpPr>
        <xdr:cNvPr id="47" name="TextBox 46">
          <a:extLst>
            <a:ext uri="{FF2B5EF4-FFF2-40B4-BE49-F238E27FC236}">
              <a16:creationId xmlns:a16="http://schemas.microsoft.com/office/drawing/2014/main" id="{241C7EBD-7947-4539-966D-1044ADB870D1}"/>
            </a:ext>
          </a:extLst>
        </xdr:cNvPr>
        <xdr:cNvSpPr txBox="1"/>
      </xdr:nvSpPr>
      <xdr:spPr>
        <a:xfrm>
          <a:off x="5077730" y="876300"/>
          <a:ext cx="1800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FE7C47-A558-4BC1-A475-5FB1E6201964}" type="TxLink">
            <a:rPr lang="en-US" sz="16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pPr marL="0" indent="0"/>
            <a:t>1,18,149</a:t>
          </a:fld>
          <a:endParaRPr lang="en-IN" sz="1600" b="1" i="0" u="none" strike="noStrike">
            <a:solidFill>
              <a:schemeClr val="tx1"/>
            </a:solidFill>
            <a:effectLst>
              <a:outerShdw blurRad="50800" dist="38100" dir="2700000" algn="tl" rotWithShape="0">
                <a:prstClr val="black">
                  <a:alpha val="40000"/>
                </a:prstClr>
              </a:outerShdw>
            </a:effectLst>
            <a:latin typeface="Calibri"/>
            <a:ea typeface="Calibri"/>
            <a:cs typeface="Calibri"/>
          </a:endParaRPr>
        </a:p>
      </xdr:txBody>
    </xdr:sp>
    <xdr:clientData/>
  </xdr:twoCellAnchor>
  <xdr:twoCellAnchor>
    <xdr:from>
      <xdr:col>12</xdr:col>
      <xdr:colOff>76200</xdr:colOff>
      <xdr:row>2</xdr:row>
      <xdr:rowOff>105490</xdr:rowOff>
    </xdr:from>
    <xdr:to>
      <xdr:col>15</xdr:col>
      <xdr:colOff>299400</xdr:colOff>
      <xdr:row>4</xdr:row>
      <xdr:rowOff>36910</xdr:rowOff>
    </xdr:to>
    <xdr:sp macro="" textlink="">
      <xdr:nvSpPr>
        <xdr:cNvPr id="48" name="TextBox 47">
          <a:extLst>
            <a:ext uri="{FF2B5EF4-FFF2-40B4-BE49-F238E27FC236}">
              <a16:creationId xmlns:a16="http://schemas.microsoft.com/office/drawing/2014/main" id="{EAD912BD-4ACD-4361-B289-112C0150D7EC}"/>
            </a:ext>
          </a:extLst>
        </xdr:cNvPr>
        <xdr:cNvSpPr txBox="1"/>
      </xdr:nvSpPr>
      <xdr:spPr>
        <a:xfrm>
          <a:off x="7391400" y="471250"/>
          <a:ext cx="2052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a:ln>
                <a:noFill/>
              </a:ln>
              <a:solidFill>
                <a:schemeClr val="dk1"/>
              </a:solidFill>
              <a:effectLst>
                <a:outerShdw blurRad="50800" dist="38100" dir="5400000" algn="t" rotWithShape="0">
                  <a:prstClr val="black">
                    <a:alpha val="40000"/>
                  </a:prstClr>
                </a:outerShdw>
              </a:effectLst>
              <a:latin typeface="+mn-lt"/>
              <a:ea typeface="+mn-ea"/>
              <a:cs typeface="+mn-cs"/>
            </a:rPr>
            <a:t>📈</a:t>
          </a:r>
          <a:r>
            <a:rPr lang="en-IN" sz="1300" b="0">
              <a:ln>
                <a:noFill/>
              </a:ln>
              <a:solidFill>
                <a:schemeClr val="bg2">
                  <a:lumMod val="25000"/>
                </a:schemeClr>
              </a:solidFill>
              <a:effectLst>
                <a:outerShdw blurRad="50800" dist="38100" dir="5400000" algn="t" rotWithShape="0">
                  <a:prstClr val="black">
                    <a:alpha val="40000"/>
                  </a:prstClr>
                </a:outerShdw>
              </a:effectLst>
              <a:latin typeface="+mn-lt"/>
              <a:ea typeface="+mn-ea"/>
              <a:cs typeface="+mn-cs"/>
            </a:rPr>
            <a:t>Profit margin</a:t>
          </a:r>
        </a:p>
      </xdr:txBody>
    </xdr:sp>
    <xdr:clientData/>
  </xdr:twoCellAnchor>
  <xdr:twoCellAnchor>
    <xdr:from>
      <xdr:col>12</xdr:col>
      <xdr:colOff>202200</xdr:colOff>
      <xdr:row>4</xdr:row>
      <xdr:rowOff>144780</xdr:rowOff>
    </xdr:from>
    <xdr:to>
      <xdr:col>15</xdr:col>
      <xdr:colOff>173400</xdr:colOff>
      <xdr:row>6</xdr:row>
      <xdr:rowOff>76200</xdr:rowOff>
    </xdr:to>
    <xdr:sp macro="" textlink="Pivots!D6">
      <xdr:nvSpPr>
        <xdr:cNvPr id="49" name="TextBox 48">
          <a:extLst>
            <a:ext uri="{FF2B5EF4-FFF2-40B4-BE49-F238E27FC236}">
              <a16:creationId xmlns:a16="http://schemas.microsoft.com/office/drawing/2014/main" id="{F9D770F1-5749-40EA-9782-73A57854EDAD}"/>
            </a:ext>
          </a:extLst>
        </xdr:cNvPr>
        <xdr:cNvSpPr txBox="1"/>
      </xdr:nvSpPr>
      <xdr:spPr>
        <a:xfrm>
          <a:off x="7517400" y="876300"/>
          <a:ext cx="180000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27E5CD-30A4-4E60-A8B7-D76DB32E55DF}" type="TxLink">
            <a:rPr lang="en-US" sz="1600" b="1" i="0" u="none" strike="noStrike">
              <a:solidFill>
                <a:schemeClr val="tx1"/>
              </a:solidFill>
              <a:effectLst>
                <a:outerShdw blurRad="50800" dist="38100" dir="2700000" algn="tl" rotWithShape="0">
                  <a:prstClr val="black">
                    <a:alpha val="40000"/>
                  </a:prstClr>
                </a:outerShdw>
              </a:effectLst>
              <a:latin typeface="Calibri"/>
              <a:ea typeface="Calibri"/>
              <a:cs typeface="Calibri"/>
            </a:rPr>
            <a:pPr marL="0" indent="0"/>
            <a:t>24.38%</a:t>
          </a:fld>
          <a:endParaRPr lang="en-IN" sz="1600" b="1" i="0" u="none" strike="noStrike">
            <a:solidFill>
              <a:schemeClr val="tx1"/>
            </a:solidFill>
            <a:effectLst>
              <a:outerShdw blurRad="50800" dist="38100" dir="2700000" algn="tl" rotWithShape="0">
                <a:prstClr val="black">
                  <a:alpha val="40000"/>
                </a:prstClr>
              </a:outerShdw>
            </a:effectLst>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73</xdr:row>
      <xdr:rowOff>156210</xdr:rowOff>
    </xdr:from>
    <xdr:to>
      <xdr:col>9</xdr:col>
      <xdr:colOff>160020</xdr:colOff>
      <xdr:row>88</xdr:row>
      <xdr:rowOff>156210</xdr:rowOff>
    </xdr:to>
    <xdr:graphicFrame macro="">
      <xdr:nvGraphicFramePr>
        <xdr:cNvPr id="9" name="Chart 8">
          <a:extLst>
            <a:ext uri="{FF2B5EF4-FFF2-40B4-BE49-F238E27FC236}">
              <a16:creationId xmlns:a16="http://schemas.microsoft.com/office/drawing/2014/main" id="{21F67615-CFC8-9A92-4C98-773CABE13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358140</xdr:colOff>
      <xdr:row>144</xdr:row>
      <xdr:rowOff>41910</xdr:rowOff>
    </xdr:from>
    <xdr:to>
      <xdr:col>3</xdr:col>
      <xdr:colOff>861060</xdr:colOff>
      <xdr:row>159</xdr:row>
      <xdr:rowOff>41910</xdr:rowOff>
    </xdr:to>
    <xdr:graphicFrame macro="">
      <xdr:nvGraphicFramePr>
        <xdr:cNvPr id="19" name="Chart 18">
          <a:extLst>
            <a:ext uri="{FF2B5EF4-FFF2-40B4-BE49-F238E27FC236}">
              <a16:creationId xmlns:a16="http://schemas.microsoft.com/office/drawing/2014/main" id="{81B52448-B5B6-97BF-53C6-89CF32303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754380</xdr:colOff>
      <xdr:row>144</xdr:row>
      <xdr:rowOff>57150</xdr:rowOff>
    </xdr:from>
    <xdr:to>
      <xdr:col>8</xdr:col>
      <xdr:colOff>502920</xdr:colOff>
      <xdr:row>159</xdr:row>
      <xdr:rowOff>57150</xdr:rowOff>
    </xdr:to>
    <xdr:graphicFrame macro="">
      <xdr:nvGraphicFramePr>
        <xdr:cNvPr id="20" name="Chart 19">
          <a:extLst>
            <a:ext uri="{FF2B5EF4-FFF2-40B4-BE49-F238E27FC236}">
              <a16:creationId xmlns:a16="http://schemas.microsoft.com/office/drawing/2014/main" id="{DAF8D249-4BAD-752C-BE06-F09A76F1E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143.571083564813" createdVersion="8" refreshedVersion="8" minRefreshableVersion="3" recordCount="575" xr:uid="{5E7C5D93-2CA5-4FF8-A53D-1D63D9BC5813}">
  <cacheSource type="worksheet">
    <worksheetSource name="data"/>
  </cacheSource>
  <cacheFields count="30">
    <cacheField name="SR.NO" numFmtId="0">
      <sharedItems containsSemiMixedTypes="0" containsString="0" containsNumber="1" containsInteger="1" minValue="1" maxValue="575"/>
    </cacheField>
    <cacheField name="Order_ID" numFmtId="0">
      <sharedItems/>
    </cacheField>
    <cacheField name="Order_Date" numFmtId="14">
      <sharedItems containsSemiMixedTypes="0" containsNonDate="0" containsDate="1" containsString="0" minDate="2025-01-03T00:00:00" maxDate="2026-01-01T00:00:00" count="297">
        <d v="2025-03-19T00:00:00"/>
        <d v="2025-06-17T00:00:00"/>
        <d v="2025-06-18T00:00:00"/>
        <d v="2025-11-18T00:00:00"/>
        <d v="2025-09-26T00:00:00"/>
        <d v="2025-05-11T00:00:00"/>
        <d v="2025-08-17T00:00:00"/>
        <d v="2025-04-08T00:00:00"/>
        <d v="2025-06-02T00:00:00"/>
        <d v="2025-02-25T00:00:00"/>
        <d v="2025-02-27T00:00:00"/>
        <d v="2025-06-22T00:00:00"/>
        <d v="2025-07-08T00:00:00"/>
        <d v="2025-03-11T00:00:00"/>
        <d v="2025-08-02T00:00:00"/>
        <d v="2025-10-07T00:00:00"/>
        <d v="2025-09-20T00:00:00"/>
        <d v="2025-06-04T00:00:00"/>
        <d v="2025-02-09T00:00:00"/>
        <d v="2025-10-08T00:00:00"/>
        <d v="2025-11-07T00:00:00"/>
        <d v="2025-10-24T00:00:00"/>
        <d v="2025-11-15T00:00:00"/>
        <d v="2025-10-14T00:00:00"/>
        <d v="2025-04-21T00:00:00"/>
        <d v="2025-09-16T00:00:00"/>
        <d v="2025-08-12T00:00:00"/>
        <d v="2025-08-05T00:00:00"/>
        <d v="2025-08-07T00:00:00"/>
        <d v="2025-04-19T00:00:00"/>
        <d v="2025-11-05T00:00:00"/>
        <d v="2025-01-23T00:00:00"/>
        <d v="2025-11-08T00:00:00"/>
        <d v="2025-01-29T00:00:00"/>
        <d v="2025-11-14T00:00:00"/>
        <d v="2025-02-18T00:00:00"/>
        <d v="2025-04-17T00:00:00"/>
        <d v="2025-05-15T00:00:00"/>
        <d v="2025-10-31T00:00:00"/>
        <d v="2025-12-01T00:00:00"/>
        <d v="2025-09-08T00:00:00"/>
        <d v="2025-12-15T00:00:00"/>
        <d v="2025-01-09T00:00:00"/>
        <d v="2025-04-22T00:00:00"/>
        <d v="2025-12-09T00:00:00"/>
        <d v="2025-06-27T00:00:00"/>
        <d v="2025-01-24T00:00:00"/>
        <d v="2025-09-09T00:00:00"/>
        <d v="2025-02-16T00:00:00"/>
        <d v="2025-02-07T00:00:00"/>
        <d v="2025-12-12T00:00:00"/>
        <d v="2025-10-15T00:00:00"/>
        <d v="2025-01-08T00:00:00"/>
        <d v="2025-01-31T00:00:00"/>
        <d v="2025-05-05T00:00:00"/>
        <d v="2025-07-18T00:00:00"/>
        <d v="2025-03-01T00:00:00"/>
        <d v="2025-08-27T00:00:00"/>
        <d v="2025-06-13T00:00:00"/>
        <d v="2025-03-09T00:00:00"/>
        <d v="2025-08-08T00:00:00"/>
        <d v="2025-05-30T00:00:00"/>
        <d v="2025-08-19T00:00:00"/>
        <d v="2025-06-20T00:00:00"/>
        <d v="2025-06-06T00:00:00"/>
        <d v="2025-01-06T00:00:00"/>
        <d v="2025-11-01T00:00:00"/>
        <d v="2025-06-03T00:00:00"/>
        <d v="2025-01-03T00:00:00"/>
        <d v="2025-03-27T00:00:00"/>
        <d v="2025-10-13T00:00:00"/>
        <d v="2025-06-24T00:00:00"/>
        <d v="2025-03-29T00:00:00"/>
        <d v="2025-12-19T00:00:00"/>
        <d v="2025-09-19T00:00:00"/>
        <d v="2025-05-03T00:00:00"/>
        <d v="2025-03-23T00:00:00"/>
        <d v="2025-05-14T00:00:00"/>
        <d v="2025-05-25T00:00:00"/>
        <d v="2025-08-28T00:00:00"/>
        <d v="2025-11-02T00:00:00"/>
        <d v="2025-01-17T00:00:00"/>
        <d v="2025-06-29T00:00:00"/>
        <d v="2025-05-31T00:00:00"/>
        <d v="2025-07-22T00:00:00"/>
        <d v="2025-03-13T00:00:00"/>
        <d v="2025-05-09T00:00:00"/>
        <d v="2025-03-22T00:00:00"/>
        <d v="2025-02-19T00:00:00"/>
        <d v="2025-01-19T00:00:00"/>
        <d v="2025-04-13T00:00:00"/>
        <d v="2025-03-30T00:00:00"/>
        <d v="2025-09-10T00:00:00"/>
        <d v="2025-02-21T00:00:00"/>
        <d v="2025-01-10T00:00:00"/>
        <d v="2025-09-21T00:00:00"/>
        <d v="2025-09-18T00:00:00"/>
        <d v="2025-09-01T00:00:00"/>
        <d v="2025-01-11T00:00:00"/>
        <d v="2025-10-09T00:00:00"/>
        <d v="2025-11-28T00:00:00"/>
        <d v="2025-12-20T00:00:00"/>
        <d v="2025-06-05T00:00:00"/>
        <d v="2025-01-13T00:00:00"/>
        <d v="2025-06-30T00:00:00"/>
        <d v="2025-01-04T00:00:00"/>
        <d v="2025-01-20T00:00:00"/>
        <d v="2025-12-02T00:00:00"/>
        <d v="2025-04-07T00:00:00"/>
        <d v="2025-07-31T00:00:00"/>
        <d v="2025-03-26T00:00:00"/>
        <d v="2025-09-11T00:00:00"/>
        <d v="2025-10-17T00:00:00"/>
        <d v="2025-08-03T00:00:00"/>
        <d v="2025-09-12T00:00:00"/>
        <d v="2025-08-04T00:00:00"/>
        <d v="2025-05-27T00:00:00"/>
        <d v="2025-09-30T00:00:00"/>
        <d v="2025-04-28T00:00:00"/>
        <d v="2025-09-14T00:00:00"/>
        <d v="2025-06-07T00:00:00"/>
        <d v="2025-10-25T00:00:00"/>
        <d v="2025-05-12T00:00:00"/>
        <d v="2025-04-16T00:00:00"/>
        <d v="2025-04-29T00:00:00"/>
        <d v="2025-04-30T00:00:00"/>
        <d v="2025-10-20T00:00:00"/>
        <d v="2025-03-10T00:00:00"/>
        <d v="2025-01-27T00:00:00"/>
        <d v="2025-10-11T00:00:00"/>
        <d v="2025-12-10T00:00:00"/>
        <d v="2025-03-18T00:00:00"/>
        <d v="2025-12-25T00:00:00"/>
        <d v="2025-06-09T00:00:00"/>
        <d v="2025-05-17T00:00:00"/>
        <d v="2025-08-10T00:00:00"/>
        <d v="2025-03-07T00:00:00"/>
        <d v="2025-08-16T00:00:00"/>
        <d v="2025-02-02T00:00:00"/>
        <d v="2025-07-30T00:00:00"/>
        <d v="2025-12-27T00:00:00"/>
        <d v="2025-07-03T00:00:00"/>
        <d v="2025-12-14T00:00:00"/>
        <d v="2025-06-01T00:00:00"/>
        <d v="2025-05-29T00:00:00"/>
        <d v="2025-09-22T00:00:00"/>
        <d v="2025-07-16T00:00:00"/>
        <d v="2025-11-10T00:00:00"/>
        <d v="2025-11-06T00:00:00"/>
        <d v="2025-07-21T00:00:00"/>
        <d v="2025-11-11T00:00:00"/>
        <d v="2025-08-14T00:00:00"/>
        <d v="2025-03-12T00:00:00"/>
        <d v="2025-10-23T00:00:00"/>
        <d v="2025-03-31T00:00:00"/>
        <d v="2025-01-22T00:00:00"/>
        <d v="2025-05-06T00:00:00"/>
        <d v="2025-07-02T00:00:00"/>
        <d v="2025-11-17T00:00:00"/>
        <d v="2025-03-04T00:00:00"/>
        <d v="2025-07-12T00:00:00"/>
        <d v="2025-07-11T00:00:00"/>
        <d v="2025-12-07T00:00:00"/>
        <d v="2025-12-04T00:00:00"/>
        <d v="2025-02-05T00:00:00"/>
        <d v="2025-02-26T00:00:00"/>
        <d v="2025-08-09T00:00:00"/>
        <d v="2025-09-04T00:00:00"/>
        <d v="2025-06-21T00:00:00"/>
        <d v="2025-05-10T00:00:00"/>
        <d v="2025-12-16T00:00:00"/>
        <d v="2025-08-25T00:00:00"/>
        <d v="2025-03-15T00:00:00"/>
        <d v="2025-05-13T00:00:00"/>
        <d v="2025-10-18T00:00:00"/>
        <d v="2025-09-07T00:00:00"/>
        <d v="2025-09-15T00:00:00"/>
        <d v="2025-03-16T00:00:00"/>
        <d v="2025-04-15T00:00:00"/>
        <d v="2025-08-01T00:00:00"/>
        <d v="2025-04-18T00:00:00"/>
        <d v="2025-06-23T00:00:00"/>
        <d v="2025-07-24T00:00:00"/>
        <d v="2025-02-04T00:00:00"/>
        <d v="2025-10-10T00:00:00"/>
        <d v="2025-07-19T00:00:00"/>
        <d v="2025-09-24T00:00:00"/>
        <d v="2025-08-26T00:00:00"/>
        <d v="2025-07-14T00:00:00"/>
        <d v="2025-01-26T00:00:00"/>
        <d v="2025-05-23T00:00:00"/>
        <d v="2025-11-19T00:00:00"/>
        <d v="2025-04-20T00:00:00"/>
        <d v="2025-10-05T00:00:00"/>
        <d v="2025-12-18T00:00:00"/>
        <d v="2025-07-15T00:00:00"/>
        <d v="2025-12-05T00:00:00"/>
        <d v="2025-01-16T00:00:00"/>
        <d v="2025-03-24T00:00:00"/>
        <d v="2025-02-11T00:00:00"/>
        <d v="2025-12-24T00:00:00"/>
        <d v="2025-06-11T00:00:00"/>
        <d v="2025-11-24T00:00:00"/>
        <d v="2025-06-08T00:00:00"/>
        <d v="2025-03-05T00:00:00"/>
        <d v="2025-01-07T00:00:00"/>
        <d v="2025-09-06T00:00:00"/>
        <d v="2025-05-18T00:00:00"/>
        <d v="2025-06-10T00:00:00"/>
        <d v="2025-04-02T00:00:00"/>
        <d v="2025-08-22T00:00:00"/>
        <d v="2025-04-27T00:00:00"/>
        <d v="2025-12-13T00:00:00"/>
        <d v="2025-08-31T00:00:00"/>
        <d v="2025-03-20T00:00:00"/>
        <d v="2025-11-12T00:00:00"/>
        <d v="2025-07-26T00:00:00"/>
        <d v="2025-12-08T00:00:00"/>
        <d v="2025-02-06T00:00:00"/>
        <d v="2025-10-01T00:00:00"/>
        <d v="2025-11-09T00:00:00"/>
        <d v="2025-11-23T00:00:00"/>
        <d v="2025-02-20T00:00:00"/>
        <d v="2025-01-15T00:00:00"/>
        <d v="2025-06-15T00:00:00"/>
        <d v="2025-09-05T00:00:00"/>
        <d v="2025-06-14T00:00:00"/>
        <d v="2025-01-05T00:00:00"/>
        <d v="2025-08-06T00:00:00"/>
        <d v="2025-12-23T00:00:00"/>
        <d v="2025-06-16T00:00:00"/>
        <d v="2025-02-24T00:00:00"/>
        <d v="2025-05-21T00:00:00"/>
        <d v="2025-10-04T00:00:00"/>
        <d v="2025-11-27T00:00:00"/>
        <d v="2025-04-14T00:00:00"/>
        <d v="2025-04-04T00:00:00"/>
        <d v="2025-08-23T00:00:00"/>
        <d v="2025-09-25T00:00:00"/>
        <d v="2025-06-19T00:00:00"/>
        <d v="2025-04-10T00:00:00"/>
        <d v="2025-05-01T00:00:00"/>
        <d v="2025-05-28T00:00:00"/>
        <d v="2025-11-26T00:00:00"/>
        <d v="2025-04-11T00:00:00"/>
        <d v="2025-08-20T00:00:00"/>
        <d v="2025-01-18T00:00:00"/>
        <d v="2025-08-13T00:00:00"/>
        <d v="2025-10-30T00:00:00"/>
        <d v="2025-02-12T00:00:00"/>
        <d v="2025-10-16T00:00:00"/>
        <d v="2025-05-22T00:00:00"/>
        <d v="2025-03-06T00:00:00"/>
        <d v="2025-08-29T00:00:00"/>
        <d v="2025-01-25T00:00:00"/>
        <d v="2025-09-03T00:00:00"/>
        <d v="2025-07-20T00:00:00"/>
        <d v="2025-10-02T00:00:00"/>
        <d v="2025-04-26T00:00:00"/>
        <d v="2025-07-27T00:00:00"/>
        <d v="2025-05-07T00:00:00"/>
        <d v="2025-05-08T00:00:00"/>
        <d v="2025-12-29T00:00:00"/>
        <d v="2025-11-04T00:00:00"/>
        <d v="2025-02-14T00:00:00"/>
        <d v="2025-07-13T00:00:00"/>
        <d v="2025-08-21T00:00:00"/>
        <d v="2025-12-31T00:00:00"/>
        <d v="2025-12-11T00:00:00"/>
        <d v="2025-05-20T00:00:00"/>
        <d v="2025-05-24T00:00:00"/>
        <d v="2025-01-21T00:00:00"/>
        <d v="2025-08-18T00:00:00"/>
        <d v="2025-11-25T00:00:00"/>
        <d v="2025-11-03T00:00:00"/>
        <d v="2025-03-28T00:00:00"/>
        <d v="2025-02-23T00:00:00"/>
        <d v="2025-11-30T00:00:00"/>
        <d v="2025-08-24T00:00:00"/>
        <d v="2025-04-03T00:00:00"/>
        <d v="2025-09-17T00:00:00"/>
        <d v="2025-12-17T00:00:00"/>
        <d v="2025-02-28T00:00:00"/>
        <d v="2025-03-14T00:00:00"/>
        <d v="2025-10-06T00:00:00"/>
        <d v="2025-03-08T00:00:00"/>
        <d v="2025-02-03T00:00:00"/>
        <d v="2025-05-26T00:00:00"/>
        <d v="2025-03-02T00:00:00"/>
        <d v="2025-12-03T00:00:00"/>
        <d v="2025-12-28T00:00:00"/>
        <d v="2025-12-06T00:00:00"/>
        <d v="2025-12-26T00:00:00"/>
        <d v="2025-05-19T00:00:00"/>
        <d v="2025-03-03T00:00:00"/>
        <d v="2025-08-30T00:00:00"/>
        <d v="2025-07-01T00:00:00"/>
      </sharedItems>
      <fieldGroup par="24"/>
    </cacheField>
    <cacheField name="Month_Name" numFmtId="0">
      <sharedItems count="12">
        <s v="March"/>
        <s v="June"/>
        <s v="November"/>
        <s v="September"/>
        <s v="May"/>
        <s v="August"/>
        <s v="April"/>
        <s v="February"/>
        <s v="July"/>
        <s v="October"/>
        <s v="January"/>
        <s v="December"/>
      </sharedItems>
    </cacheField>
    <cacheField name="Region" numFmtId="49">
      <sharedItems/>
    </cacheField>
    <cacheField name="City" numFmtId="49">
      <sharedItems/>
    </cacheField>
    <cacheField name="Sales_Person" numFmtId="49">
      <sharedItems/>
    </cacheField>
    <cacheField name="Customer_Type" numFmtId="0">
      <sharedItems/>
    </cacheField>
    <cacheField name="Sales_Channel" numFmtId="49">
      <sharedItems count="4">
        <s v="Modern Trade"/>
        <s v="Online"/>
        <s v="Distributor"/>
        <s v="Wholesale"/>
      </sharedItems>
    </cacheField>
    <cacheField name="Promotion_Type" numFmtId="49">
      <sharedItems count="7">
        <s v="Loyalty Cashback"/>
        <s v="Bundle Offer"/>
        <s v="No Promo"/>
        <s v="Seasonal Campaign"/>
        <s v="Festival Campaign"/>
        <s v="Flash Discount"/>
        <s v="Introductory Offer"/>
      </sharedItems>
    </cacheField>
    <cacheField name="Product_Category" numFmtId="49">
      <sharedItems count="5">
        <s v="Personal Care"/>
        <s v="Dairy &amp; Breakfast"/>
        <s v="Household"/>
        <s v="Beverages"/>
        <s v="Snacks"/>
      </sharedItems>
    </cacheField>
    <cacheField name="Product_Name" numFmtId="49">
      <sharedItems count="30">
        <s v="Body Wash Citrus"/>
        <s v="Greek Yogurt Plain"/>
        <s v="Glass Cleaner"/>
        <s v="Paper Towels"/>
        <s v="Granola Honey"/>
        <s v="Green Tea Bags"/>
        <s v="Hand Soap Gentle"/>
        <s v="Chocolate Cookies"/>
        <s v="Sparkling Water Lemon"/>
        <s v="Trail Mix Original"/>
        <s v="Energy Drink Classic"/>
        <s v="Shampoo Repair"/>
        <s v="Toothbrush Soft"/>
        <s v="Energy Drink Zero"/>
        <s v="Protein Bar Peanut"/>
        <s v="Potato Chips Sea Salt"/>
        <s v="Laundry Detergent"/>
        <s v="Peanut Butter Creamy"/>
        <s v="Surface Cleaner"/>
        <s v="Tissue Pack"/>
        <s v="Oats Wholegrain"/>
        <s v="Cereal Corn Flakes"/>
        <s v="Dishwash Liquid"/>
        <s v="Conditioner Smooth"/>
        <s v="Sparkling Water Berry"/>
        <s v="Yogurt Cup Strawberry"/>
        <s v="Instant Coffee Gold"/>
        <s v="Protein Bar Cocoa"/>
        <s v="Potato Chips BBQ"/>
        <s v="Toothpaste Mint"/>
      </sharedItems>
    </cacheField>
    <cacheField name="Units_Sold" numFmtId="1">
      <sharedItems containsSemiMixedTypes="0" containsString="0" containsNumber="1" containsInteger="1" minValue="7" maxValue="1290"/>
    </cacheField>
    <cacheField name="Unit_Price_INR" numFmtId="164">
      <sharedItems containsSemiMixedTypes="0" containsString="0" containsNumber="1" minValue="56.35" maxValue="317.45"/>
    </cacheField>
    <cacheField name="Discount_Pct" numFmtId="10">
      <sharedItems containsSemiMixedTypes="0" containsString="0" containsNumber="1" minValue="7.0999999999999995E-3" maxValue="0.28000000000000003"/>
    </cacheField>
    <cacheField name="Gross_Sales_INR" numFmtId="164">
      <sharedItems containsSemiMixedTypes="0" containsString="0" containsNumber="1" minValue="487.55000000000007" maxValue="217298.19999999998"/>
    </cacheField>
    <cacheField name="Marketing_Spend_INR" numFmtId="164">
      <sharedItems containsSemiMixedTypes="0" containsString="0" containsNumber="1" minValue="91.7" maxValue="25660.25"/>
    </cacheField>
    <cacheField name="COGS_INR" numFmtId="164">
      <sharedItems containsSemiMixedTypes="0" containsString="0" containsNumber="1" minValue="239.75" maxValue="104703.55"/>
    </cacheField>
    <cacheField name="Logistics_Cost_INR" numFmtId="164">
      <sharedItems containsSemiMixedTypes="0" containsString="0" containsNumber="1" minValue="42" maxValue="8907.15"/>
    </cacheField>
    <cacheField name="Net_Revenue_INR" numFmtId="164">
      <sharedItems containsSemiMixedTypes="0" containsString="0" containsNumber="1" minValue="422.02328000000006" maxValue="186420.12577999997"/>
    </cacheField>
    <cacheField name="Profit_INR" numFmtId="164">
      <sharedItems containsSemiMixedTypes="0" containsString="0" containsNumber="1" minValue="-4047.0088750000004" maxValue="60054.375779999958"/>
    </cacheField>
    <cacheField name="Profit_Margin_Pct" numFmtId="10">
      <sharedItems containsSemiMixedTypes="0" containsString="0" containsNumber="1" minValue="-0.31885453353559468" maxValue="0.43316815882327842"/>
    </cacheField>
    <cacheField name="Field1" numFmtId="0" formula="Profit_INR/Net_Revenue_INR" databaseField="0"/>
    <cacheField name="Days (Order_Date)" numFmtId="0" databaseField="0">
      <fieldGroup base="2">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2">
        <rangePr groupBy="months" startDate="2025-01-03T00:00:00" endDate="2026-01-01T00:00:00"/>
        <groupItems count="14">
          <s v="&lt;03-01-2025"/>
          <s v="Jan"/>
          <s v="Feb"/>
          <s v="Mar"/>
          <s v="Apr"/>
          <s v="May"/>
          <s v="Jun"/>
          <s v="Jul"/>
          <s v="Aug"/>
          <s v="Sep"/>
          <s v="Oct"/>
          <s v="Nov"/>
          <s v="Dec"/>
          <s v="&gt;01-01-2026"/>
        </groupItems>
      </fieldGroup>
    </cacheField>
    <cacheField name="Marketing%" numFmtId="0" formula="Marketing_Spend_INR/Net_Revenue_INR" databaseField="0"/>
    <cacheField name="Logistics%" numFmtId="0" formula="Logistics_Cost_INR/Net_Revenue_INR" databaseField="0"/>
    <cacheField name="Margin" numFmtId="0" formula="Profit_INR/Net_Revenue_INR" databaseField="0"/>
    <cacheField name="Discount%" numFmtId="0" formula=" (Gross_Sales_INR-Net_Revenue_INR)/Gross_Sales_INR" databaseField="0"/>
    <cacheField name="COGS %" numFmtId="0" formula="COGS_INR/Net_Revenue_INR" databaseField="0"/>
  </cacheFields>
  <extLst>
    <ext xmlns:x14="http://schemas.microsoft.com/office/spreadsheetml/2009/9/main" uri="{725AE2AE-9491-48be-B2B4-4EB974FC3084}">
      <x14:pivotCacheDefinition pivotCacheId="2093887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5">
  <r>
    <n v="1"/>
    <s v="FMCG-2025-000007"/>
    <x v="0"/>
    <x v="0"/>
    <s v="South"/>
    <s v="Hyderabad"/>
    <s v="Farah Siddiqui"/>
    <s v="B2C"/>
    <x v="0"/>
    <x v="0"/>
    <x v="0"/>
    <x v="0"/>
    <n v="155"/>
    <n v="169.05"/>
    <n v="8.3199999999999996E-2"/>
    <n v="26202.75"/>
    <n v="2630.9500000000003"/>
    <n v="14158.55"/>
    <n v="1598.45"/>
    <n v="24022.681200000003"/>
    <n v="5634.731200000002"/>
    <n v="0.23455879687567935"/>
  </r>
  <r>
    <n v="2"/>
    <s v="FMCG-2025-000089"/>
    <x v="1"/>
    <x v="1"/>
    <s v="West"/>
    <s v="Mumbai"/>
    <s v="Aarav Malhotra"/>
    <s v="B2C"/>
    <x v="1"/>
    <x v="1"/>
    <x v="1"/>
    <x v="1"/>
    <n v="26"/>
    <n v="78.05"/>
    <n v="0.10009999999999999"/>
    <n v="2029.3"/>
    <n v="266"/>
    <n v="917.35"/>
    <n v="173.6"/>
    <n v="1826.16707"/>
    <n v="469.21707000000004"/>
    <n v="0.25694093257305317"/>
  </r>
  <r>
    <n v="3"/>
    <s v="FMCG-2025-000090"/>
    <x v="2"/>
    <x v="1"/>
    <s v="North"/>
    <s v="Delhi"/>
    <s v="Farah Siddiqui"/>
    <s v="B2C"/>
    <x v="1"/>
    <x v="2"/>
    <x v="2"/>
    <x v="2"/>
    <n v="42"/>
    <n v="143.5"/>
    <n v="6.3799999999999996E-2"/>
    <n v="6027"/>
    <n v="810.6"/>
    <n v="2826.6000000000004"/>
    <n v="679"/>
    <n v="5642.4773999999998"/>
    <n v="1326.2773999999995"/>
    <n v="0.2350523193943142"/>
  </r>
  <r>
    <n v="4"/>
    <s v="FMCG-2025-000101"/>
    <x v="3"/>
    <x v="2"/>
    <s v="South"/>
    <s v="Bengaluru"/>
    <s v="Meera Nair"/>
    <s v="B2B"/>
    <x v="2"/>
    <x v="3"/>
    <x v="2"/>
    <x v="3"/>
    <n v="516"/>
    <n v="158.9"/>
    <n v="0.184"/>
    <n v="81992.399999999994"/>
    <n v="14170.45"/>
    <n v="41149.5"/>
    <n v="4373.5999999999995"/>
    <n v="66905.798400000014"/>
    <n v="7212.248400000015"/>
    <n v="0.10779706053100493"/>
  </r>
  <r>
    <n v="5"/>
    <s v="FMCG-2025-000115"/>
    <x v="4"/>
    <x v="3"/>
    <s v="North"/>
    <s v="Delhi"/>
    <s v="Farah Siddiqui"/>
    <s v="B2C"/>
    <x v="1"/>
    <x v="4"/>
    <x v="1"/>
    <x v="4"/>
    <n v="30"/>
    <n v="200.55"/>
    <n v="0.12619999999999998"/>
    <n v="6016.5"/>
    <n v="941.15"/>
    <n v="3069.85"/>
    <n v="519.04999999999995"/>
    <n v="5257.2177000000001"/>
    <n v="727.16770000000008"/>
    <n v="0.1383179737829765"/>
  </r>
  <r>
    <n v="6"/>
    <s v="FMCG-2025-000139"/>
    <x v="5"/>
    <x v="4"/>
    <s v="West"/>
    <s v="Mumbai"/>
    <s v="Farah Siddiqui"/>
    <s v="B2C"/>
    <x v="1"/>
    <x v="3"/>
    <x v="3"/>
    <x v="5"/>
    <n v="53"/>
    <n v="145.6"/>
    <n v="0.1512"/>
    <n v="7716.7999999999993"/>
    <n v="1402.45"/>
    <n v="4235.7"/>
    <n v="810.95"/>
    <n v="6550.019839999999"/>
    <n v="100.91983999999934"/>
    <n v="1.5407562490680846E-2"/>
  </r>
  <r>
    <n v="7"/>
    <s v="FMCG-2025-000162"/>
    <x v="6"/>
    <x v="5"/>
    <s v="South"/>
    <s v="Bengaluru"/>
    <s v="Farah Siddiqui"/>
    <s v="B2B"/>
    <x v="2"/>
    <x v="0"/>
    <x v="0"/>
    <x v="6"/>
    <n v="450"/>
    <n v="84.7"/>
    <n v="0.184"/>
    <n v="38115"/>
    <n v="1670.2"/>
    <n v="14928.900000000001"/>
    <n v="1522.85"/>
    <n v="31101.840000000004"/>
    <n v="12979.890000000003"/>
    <n v="0.41733511586452765"/>
  </r>
  <r>
    <n v="8"/>
    <s v="FMCG-2025-000201"/>
    <x v="7"/>
    <x v="6"/>
    <s v="West"/>
    <s v="Mumbai"/>
    <s v="Aarav Malhotra"/>
    <s v="B2C"/>
    <x v="0"/>
    <x v="5"/>
    <x v="4"/>
    <x v="7"/>
    <n v="149"/>
    <n v="91"/>
    <n v="0.12670000000000001"/>
    <n v="13559"/>
    <n v="1828.4"/>
    <n v="7396.55"/>
    <n v="833.34999999999991"/>
    <n v="11841.074699999999"/>
    <n v="1782.7746999999986"/>
    <n v="0.15055852151663215"/>
  </r>
  <r>
    <n v="9"/>
    <s v="FMCG-2025-000357"/>
    <x v="8"/>
    <x v="1"/>
    <s v="West"/>
    <s v="Mumbai"/>
    <s v="Aarav Malhotra"/>
    <s v="B2C"/>
    <x v="1"/>
    <x v="2"/>
    <x v="1"/>
    <x v="1"/>
    <n v="51"/>
    <n v="79.8"/>
    <n v="7.5700000000000003E-2"/>
    <n v="4069.7999999999997"/>
    <n v="494.2"/>
    <n v="2039.8"/>
    <n v="415.8"/>
    <n v="3761.71614"/>
    <n v="811.91613999999981"/>
    <n v="0.21583663141578774"/>
  </r>
  <r>
    <n v="10"/>
    <s v="FMCG-2025-000360"/>
    <x v="9"/>
    <x v="7"/>
    <s v="South"/>
    <s v="Hyderabad"/>
    <s v="Rizwan Khan"/>
    <s v="B2C"/>
    <x v="3"/>
    <x v="2"/>
    <x v="3"/>
    <x v="8"/>
    <n v="286"/>
    <n v="79.45"/>
    <n v="8.1099999999999992E-2"/>
    <n v="22722.7"/>
    <n v="1352.75"/>
    <n v="13849.849999999999"/>
    <n v="1234.45"/>
    <n v="20879.889030000002"/>
    <n v="4442.8390300000028"/>
    <n v="0.21278077788711325"/>
  </r>
  <r>
    <n v="11"/>
    <s v="FMCG-2025-000383"/>
    <x v="10"/>
    <x v="7"/>
    <s v="South"/>
    <s v="Hyderabad"/>
    <s v="Aarav Malhotra"/>
    <s v="B2B"/>
    <x v="2"/>
    <x v="3"/>
    <x v="4"/>
    <x v="9"/>
    <n v="368"/>
    <n v="130.55000000000001"/>
    <n v="0.17480000000000001"/>
    <n v="48042.400000000001"/>
    <n v="3801.7000000000003"/>
    <n v="21550.9"/>
    <n v="2373.35"/>
    <n v="39644.588479999999"/>
    <n v="11918.638479999998"/>
    <n v="0.30063721019610889"/>
  </r>
  <r>
    <n v="12"/>
    <s v="FMCG-2025-000392"/>
    <x v="11"/>
    <x v="1"/>
    <s v="South"/>
    <s v="Bengaluru"/>
    <s v="Aarav Malhotra"/>
    <s v="B2B"/>
    <x v="0"/>
    <x v="0"/>
    <x v="3"/>
    <x v="10"/>
    <n v="199"/>
    <n v="113.75"/>
    <n v="0.128"/>
    <n v="22636.25"/>
    <n v="2249.8000000000002"/>
    <n v="11755.1"/>
    <n v="1753.15"/>
    <n v="19738.810000000001"/>
    <n v="3980.7599999999993"/>
    <n v="0.20167173198384294"/>
  </r>
  <r>
    <n v="13"/>
    <s v="FMCG-2025-000419"/>
    <x v="12"/>
    <x v="8"/>
    <s v="South"/>
    <s v="Hyderabad"/>
    <s v="Aarav Malhotra"/>
    <s v="B2C"/>
    <x v="1"/>
    <x v="5"/>
    <x v="3"/>
    <x v="8"/>
    <n v="42"/>
    <n v="81.199999999999989"/>
    <n v="9.11E-2"/>
    <n v="3410.3999999999996"/>
    <n v="698.25"/>
    <n v="2263.8000000000002"/>
    <n v="376.95"/>
    <n v="3099.7125599999999"/>
    <n v="-239.28744000000006"/>
    <n v="-7.7196654647229634E-2"/>
  </r>
  <r>
    <n v="14"/>
    <s v="FMCG-2025-000443"/>
    <x v="13"/>
    <x v="0"/>
    <s v="South"/>
    <s v="Bengaluru"/>
    <s v="Rohan Iyer"/>
    <s v="B2B"/>
    <x v="0"/>
    <x v="5"/>
    <x v="0"/>
    <x v="11"/>
    <n v="128"/>
    <n v="204.4"/>
    <n v="0.21190000000000001"/>
    <n v="26163.200000000001"/>
    <n v="3094.7000000000003"/>
    <n v="12158.3"/>
    <n v="1479.8"/>
    <n v="20619.217920000003"/>
    <n v="3886.417920000004"/>
    <n v="0.18848522456471536"/>
  </r>
  <r>
    <n v="15"/>
    <s v="FMCG-2025-000479"/>
    <x v="14"/>
    <x v="5"/>
    <s v="North"/>
    <s v="Delhi"/>
    <s v="Anika Verma"/>
    <s v="B2B"/>
    <x v="2"/>
    <x v="2"/>
    <x v="0"/>
    <x v="12"/>
    <n v="440"/>
    <n v="80.150000000000006"/>
    <n v="0.1115"/>
    <n v="35266"/>
    <n v="1705.2"/>
    <n v="15354.15"/>
    <n v="1880.55"/>
    <n v="31333.840999999997"/>
    <n v="12393.940999999997"/>
    <n v="0.3955448998416759"/>
  </r>
  <r>
    <n v="16"/>
    <s v="FMCG-2025-000550"/>
    <x v="15"/>
    <x v="9"/>
    <s v="West"/>
    <s v="Mumbai"/>
    <s v="Rohan Iyer"/>
    <s v="B2B"/>
    <x v="2"/>
    <x v="2"/>
    <x v="3"/>
    <x v="13"/>
    <n v="537"/>
    <n v="112.35"/>
    <n v="0.11609999999999999"/>
    <n v="60331.95"/>
    <n v="4062.1"/>
    <n v="30123.449999999997"/>
    <n v="3791.2"/>
    <n v="53327.410604999997"/>
    <n v="15350.660605000003"/>
    <n v="0.28785685318013021"/>
  </r>
  <r>
    <n v="17"/>
    <s v="FMCG-2025-000558"/>
    <x v="16"/>
    <x v="3"/>
    <s v="South"/>
    <s v="Bengaluru"/>
    <s v="Aarav Malhotra"/>
    <s v="B2B"/>
    <x v="0"/>
    <x v="5"/>
    <x v="4"/>
    <x v="14"/>
    <n v="197"/>
    <n v="101.85000000000001"/>
    <n v="0.23260000000000003"/>
    <n v="20064.45"/>
    <n v="2666.3"/>
    <n v="8124.55"/>
    <n v="1129.45"/>
    <n v="15397.458930000001"/>
    <n v="3477.1589299999996"/>
    <n v="0.22582680335813043"/>
  </r>
  <r>
    <n v="18"/>
    <s v="FMCG-2025-000574"/>
    <x v="17"/>
    <x v="1"/>
    <s v="North"/>
    <s v="Delhi"/>
    <s v="Diya Kapoor"/>
    <s v="B2B"/>
    <x v="2"/>
    <x v="2"/>
    <x v="4"/>
    <x v="15"/>
    <n v="622"/>
    <n v="59.5"/>
    <n v="0.15529999999999999"/>
    <n v="37009"/>
    <n v="2469.9499999999998"/>
    <n v="18653.95"/>
    <n v="1831.2"/>
    <n v="31261.5023"/>
    <n v="8306.4022999999979"/>
    <n v="0.2657070738407859"/>
  </r>
  <r>
    <n v="19"/>
    <s v="FMCG-2025-000595"/>
    <x v="18"/>
    <x v="7"/>
    <s v="South"/>
    <s v="Hyderabad"/>
    <s v="Diya Kapoor"/>
    <s v="B2C"/>
    <x v="1"/>
    <x v="2"/>
    <x v="2"/>
    <x v="16"/>
    <n v="16"/>
    <n v="317.45"/>
    <n v="5.33E-2"/>
    <n v="5079.2"/>
    <n v="756.35"/>
    <n v="2712.1499999999996"/>
    <n v="548.45000000000005"/>
    <n v="4808.4786399999994"/>
    <n v="791.52863999999988"/>
    <n v="0.16461103381338926"/>
  </r>
  <r>
    <n v="20"/>
    <s v="FMCG-2025-000688"/>
    <x v="19"/>
    <x v="9"/>
    <s v="South"/>
    <s v="Bengaluru"/>
    <s v="Farah Siddiqui"/>
    <s v="B2C"/>
    <x v="0"/>
    <x v="2"/>
    <x v="3"/>
    <x v="5"/>
    <n v="26"/>
    <n v="133"/>
    <n v="2.92E-2"/>
    <n v="3458"/>
    <n v="386.75"/>
    <n v="2370.5500000000002"/>
    <n v="285.95"/>
    <n v="3357.0264000000002"/>
    <n v="313.77640000000019"/>
    <n v="9.3468553002740817E-2"/>
  </r>
  <r>
    <n v="21"/>
    <s v="FMCG-2025-000724"/>
    <x v="20"/>
    <x v="2"/>
    <s v="South"/>
    <s v="Hyderabad"/>
    <s v="Diya Kapoor"/>
    <s v="B2B"/>
    <x v="2"/>
    <x v="1"/>
    <x v="1"/>
    <x v="17"/>
    <n v="370"/>
    <n v="172.2"/>
    <n v="0.15490000000000001"/>
    <n v="63713.999999999993"/>
    <n v="4891.9500000000007"/>
    <n v="29106.7"/>
    <n v="2693.95"/>
    <n v="53844.701399999991"/>
    <n v="17152.101399999992"/>
    <n v="0.31854761850346142"/>
  </r>
  <r>
    <n v="22"/>
    <s v="FMCG-2025-000731"/>
    <x v="21"/>
    <x v="9"/>
    <s v="South"/>
    <s v="Hyderabad"/>
    <s v="Nikhil Bhat"/>
    <s v="B2B"/>
    <x v="0"/>
    <x v="3"/>
    <x v="4"/>
    <x v="14"/>
    <n v="284"/>
    <n v="101.5"/>
    <n v="0.14169999999999999"/>
    <n v="28826"/>
    <n v="2943.5"/>
    <n v="13396.6"/>
    <n v="1691.9"/>
    <n v="24741.355800000001"/>
    <n v="6709.3557999999994"/>
    <n v="0.27117979524792246"/>
  </r>
  <r>
    <n v="23"/>
    <s v="FMCG-2025-000754"/>
    <x v="22"/>
    <x v="2"/>
    <s v="South"/>
    <s v="Bengaluru"/>
    <s v="Rohan Iyer"/>
    <s v="B2B"/>
    <x v="0"/>
    <x v="1"/>
    <x v="3"/>
    <x v="13"/>
    <n v="69"/>
    <n v="112.35"/>
    <n v="0.15429999999999999"/>
    <n v="7752.15"/>
    <n v="1071"/>
    <n v="3594.5"/>
    <n v="516.25"/>
    <n v="6555.9932549999994"/>
    <n v="1374.2432549999994"/>
    <n v="0.20961633143107916"/>
  </r>
  <r>
    <n v="24"/>
    <s v="FMCG-2025-000761"/>
    <x v="23"/>
    <x v="9"/>
    <s v="West"/>
    <s v="Mumbai"/>
    <s v="Diya Kapoor"/>
    <s v="B2C"/>
    <x v="1"/>
    <x v="3"/>
    <x v="3"/>
    <x v="5"/>
    <n v="87"/>
    <n v="155.75"/>
    <n v="7.5300000000000006E-2"/>
    <n v="13550.25"/>
    <n v="2161.25"/>
    <n v="8365.35"/>
    <n v="1284.5"/>
    <n v="12529.916175"/>
    <n v="718.81617499999993"/>
    <n v="5.7367995520528688E-2"/>
  </r>
  <r>
    <n v="25"/>
    <s v="FMCG-2025-000765"/>
    <x v="24"/>
    <x v="6"/>
    <s v="South"/>
    <s v="Hyderabad"/>
    <s v="Rohan Iyer"/>
    <s v="B2C"/>
    <x v="2"/>
    <x v="5"/>
    <x v="4"/>
    <x v="14"/>
    <n v="168"/>
    <n v="109.55"/>
    <n v="0.19899999999999998"/>
    <n v="18404.399999999998"/>
    <n v="1620.1499999999999"/>
    <n v="9063.9500000000007"/>
    <n v="883.4"/>
    <n v="14741.9244"/>
    <n v="3174.4243999999999"/>
    <n v="0.21533310807101955"/>
  </r>
  <r>
    <n v="26"/>
    <s v="FMCG-2025-000875"/>
    <x v="25"/>
    <x v="3"/>
    <s v="South"/>
    <s v="Hyderabad"/>
    <s v="Meera Nair"/>
    <s v="B2B"/>
    <x v="2"/>
    <x v="2"/>
    <x v="2"/>
    <x v="18"/>
    <n v="193"/>
    <n v="142.45000000000002"/>
    <n v="0.1103"/>
    <n v="27492.850000000002"/>
    <n v="1323.7"/>
    <n v="13810.3"/>
    <n v="1524.6000000000001"/>
    <n v="24460.388645000003"/>
    <n v="7801.7886450000051"/>
    <n v="0.31895603778948067"/>
  </r>
  <r>
    <n v="27"/>
    <s v="FMCG-2025-000942"/>
    <x v="22"/>
    <x v="2"/>
    <s v="South"/>
    <s v="Bengaluru"/>
    <s v="Aarav Malhotra"/>
    <s v="B2C"/>
    <x v="0"/>
    <x v="3"/>
    <x v="0"/>
    <x v="6"/>
    <n v="50"/>
    <n v="89.600000000000009"/>
    <n v="0.1358"/>
    <n v="4480"/>
    <n v="421.4"/>
    <n v="1889.65"/>
    <n v="270.90000000000003"/>
    <n v="3871.616"/>
    <n v="1289.6659999999997"/>
    <n v="0.33310793219162221"/>
  </r>
  <r>
    <n v="28"/>
    <s v="FMCG-2025-001038"/>
    <x v="26"/>
    <x v="5"/>
    <s v="North"/>
    <s v="Delhi"/>
    <s v="Anika Verma"/>
    <s v="B2B"/>
    <x v="0"/>
    <x v="5"/>
    <x v="2"/>
    <x v="19"/>
    <n v="97"/>
    <n v="99.399999999999991"/>
    <n v="0.1893"/>
    <n v="9641.7999999999993"/>
    <n v="1449"/>
    <n v="4256.7"/>
    <n v="572.95000000000005"/>
    <n v="7816.6072599999989"/>
    <n v="1537.9572599999992"/>
    <n v="0.19675508936852987"/>
  </r>
  <r>
    <n v="29"/>
    <s v="FMCG-2025-001071"/>
    <x v="27"/>
    <x v="5"/>
    <s v="South"/>
    <s v="Bengaluru"/>
    <s v="Rizwan Khan"/>
    <s v="B2C"/>
    <x v="1"/>
    <x v="2"/>
    <x v="0"/>
    <x v="6"/>
    <n v="24"/>
    <n v="102.2"/>
    <n v="6.5599999999999992E-2"/>
    <n v="2452.8000000000002"/>
    <n v="281.75"/>
    <n v="1142.4000000000001"/>
    <n v="202.65"/>
    <n v="2291.8963200000003"/>
    <n v="665.09632000000011"/>
    <n v="0.29019476762369428"/>
  </r>
  <r>
    <n v="30"/>
    <s v="FMCG-2025-001085"/>
    <x v="28"/>
    <x v="5"/>
    <s v="South"/>
    <s v="Bengaluru"/>
    <s v="Farah Siddiqui"/>
    <s v="B2C"/>
    <x v="1"/>
    <x v="2"/>
    <x v="1"/>
    <x v="20"/>
    <n v="41"/>
    <n v="142.1"/>
    <n v="2.7999999999999997E-2"/>
    <n v="5826.0999999999995"/>
    <n v="767.55"/>
    <n v="2940.3500000000004"/>
    <n v="506.8"/>
    <n v="5662.9691999999995"/>
    <n v="1448.269199999999"/>
    <n v="0.25574378896498312"/>
  </r>
  <r>
    <n v="31"/>
    <s v="FMCG-2025-001096"/>
    <x v="21"/>
    <x v="9"/>
    <s v="West"/>
    <s v="Mumbai"/>
    <s v="Aarav Malhotra"/>
    <s v="B2B"/>
    <x v="0"/>
    <x v="3"/>
    <x v="0"/>
    <x v="12"/>
    <n v="95"/>
    <n v="80.850000000000009"/>
    <n v="0.13339999999999999"/>
    <n v="7680.7500000000009"/>
    <n v="761.94999999999993"/>
    <n v="3236.1"/>
    <n v="500.5"/>
    <n v="6656.1379500000012"/>
    <n v="2157.5879500000015"/>
    <n v="0.32415012522389219"/>
  </r>
  <r>
    <n v="32"/>
    <s v="FMCG-2025-001153"/>
    <x v="29"/>
    <x v="6"/>
    <s v="South"/>
    <s v="Bengaluru"/>
    <s v="Anika Verma"/>
    <s v="B2B"/>
    <x v="0"/>
    <x v="1"/>
    <x v="1"/>
    <x v="21"/>
    <n v="190"/>
    <n v="145.25"/>
    <n v="0.18460000000000001"/>
    <n v="27597.5"/>
    <n v="3220"/>
    <n v="12139.4"/>
    <n v="1508.15"/>
    <n v="22503.001500000002"/>
    <n v="5635.451500000001"/>
    <n v="0.25043110360189064"/>
  </r>
  <r>
    <n v="33"/>
    <s v="FMCG-2025-001186"/>
    <x v="27"/>
    <x v="5"/>
    <s v="West"/>
    <s v="Mumbai"/>
    <s v="Rizwan Khan"/>
    <s v="B2B"/>
    <x v="3"/>
    <x v="2"/>
    <x v="4"/>
    <x v="9"/>
    <n v="340"/>
    <n v="140"/>
    <n v="0.1038"/>
    <n v="47600"/>
    <n v="2108.0499999999997"/>
    <n v="23984.1"/>
    <n v="1881.95"/>
    <n v="42659.12"/>
    <n v="14685.020000000008"/>
    <n v="0.34424104388463728"/>
  </r>
  <r>
    <n v="34"/>
    <s v="FMCG-2025-001230"/>
    <x v="30"/>
    <x v="2"/>
    <s v="North"/>
    <s v="Delhi"/>
    <s v="Farah Siddiqui"/>
    <s v="B2B"/>
    <x v="3"/>
    <x v="1"/>
    <x v="3"/>
    <x v="10"/>
    <n v="207"/>
    <n v="105.7"/>
    <n v="0.222"/>
    <n v="21879.9"/>
    <n v="1749.65"/>
    <n v="9737.3499999999985"/>
    <n v="967.75"/>
    <n v="17022.5622"/>
    <n v="4567.8122000000021"/>
    <n v="0.26833869932929383"/>
  </r>
  <r>
    <n v="35"/>
    <s v="FMCG-2025-001238"/>
    <x v="31"/>
    <x v="10"/>
    <s v="South"/>
    <s v="Hyderabad"/>
    <s v="Meera Nair"/>
    <s v="B2C"/>
    <x v="1"/>
    <x v="0"/>
    <x v="2"/>
    <x v="22"/>
    <n v="28"/>
    <n v="131.25"/>
    <n v="5.2900000000000003E-2"/>
    <n v="3675"/>
    <n v="417.55"/>
    <n v="2062.9"/>
    <n v="351.75"/>
    <n v="3480.5925000000002"/>
    <n v="648.39250000000015"/>
    <n v="0.1862879667757717"/>
  </r>
  <r>
    <n v="36"/>
    <s v="FMCG-2025-001291"/>
    <x v="16"/>
    <x v="3"/>
    <s v="North"/>
    <s v="Delhi"/>
    <s v="Diya Kapoor"/>
    <s v="B2B"/>
    <x v="3"/>
    <x v="5"/>
    <x v="2"/>
    <x v="16"/>
    <n v="532"/>
    <n v="282.10000000000002"/>
    <n v="0.25840000000000002"/>
    <n v="150077.20000000001"/>
    <n v="10554.6"/>
    <n v="59656.1"/>
    <n v="5601.75"/>
    <n v="111297.25152000002"/>
    <n v="35484.801520000023"/>
    <n v="0.31882909088391492"/>
  </r>
  <r>
    <n v="37"/>
    <s v="FMCG-2025-001309"/>
    <x v="32"/>
    <x v="2"/>
    <s v="South"/>
    <s v="Hyderabad"/>
    <s v="Nikhil Bhat"/>
    <s v="B2B"/>
    <x v="0"/>
    <x v="1"/>
    <x v="3"/>
    <x v="5"/>
    <n v="116"/>
    <n v="165.2"/>
    <n v="0.1386"/>
    <n v="19163.199999999997"/>
    <n v="2581.25"/>
    <n v="11681.25"/>
    <n v="1479.45"/>
    <n v="16507.180479999995"/>
    <n v="765.23047999999471"/>
    <n v="4.635743099356935E-2"/>
  </r>
  <r>
    <n v="38"/>
    <s v="FMCG-2025-001366"/>
    <x v="33"/>
    <x v="10"/>
    <s v="South"/>
    <s v="Hyderabad"/>
    <s v="Aarav Malhotra"/>
    <s v="B2C"/>
    <x v="0"/>
    <x v="5"/>
    <x v="2"/>
    <x v="3"/>
    <n v="27"/>
    <n v="162.39999999999998"/>
    <n v="0.17180000000000001"/>
    <n v="4384.7999999999993"/>
    <n v="481.95"/>
    <n v="2028.95"/>
    <n v="308"/>
    <n v="3631.4913599999995"/>
    <n v="812.59135999999944"/>
    <n v="0.22376243792027073"/>
  </r>
  <r>
    <n v="39"/>
    <s v="FMCG-2025-001433"/>
    <x v="34"/>
    <x v="2"/>
    <s v="West"/>
    <s v="Mumbai"/>
    <s v="Meera Nair"/>
    <s v="B2C"/>
    <x v="1"/>
    <x v="1"/>
    <x v="3"/>
    <x v="13"/>
    <n v="43"/>
    <n v="117.6"/>
    <n v="0.129"/>
    <n v="5056.8"/>
    <n v="829.15000000000009"/>
    <n v="2714.95"/>
    <n v="490.7"/>
    <n v="4404.4728000000005"/>
    <n v="369.67280000000073"/>
    <n v="8.3931225548719637E-2"/>
  </r>
  <r>
    <n v="40"/>
    <s v="FMCG-2025-001472"/>
    <x v="35"/>
    <x v="7"/>
    <s v="South"/>
    <s v="Hyderabad"/>
    <s v="Diya Kapoor"/>
    <s v="B2C"/>
    <x v="0"/>
    <x v="4"/>
    <x v="2"/>
    <x v="18"/>
    <n v="96"/>
    <n v="143.15"/>
    <n v="0.14910000000000001"/>
    <n v="13742.400000000001"/>
    <n v="2061.85"/>
    <n v="6505.45"/>
    <n v="1034.5999999999999"/>
    <n v="11693.408160000001"/>
    <n v="2091.5081600000008"/>
    <n v="0.1788621530508519"/>
  </r>
  <r>
    <n v="41"/>
    <s v="FMCG-2025-001538"/>
    <x v="36"/>
    <x v="6"/>
    <s v="South"/>
    <s v="Hyderabad"/>
    <s v="Anika Verma"/>
    <s v="B2C"/>
    <x v="1"/>
    <x v="2"/>
    <x v="4"/>
    <x v="9"/>
    <n v="32"/>
    <n v="147.35"/>
    <n v="2.8999999999999998E-2"/>
    <n v="4715.2"/>
    <n v="724.85"/>
    <n v="2545.1999999999998"/>
    <n v="456.04999999999995"/>
    <n v="4578.4591999999993"/>
    <n v="852.3591999999993"/>
    <n v="0.18616725906392251"/>
  </r>
  <r>
    <n v="42"/>
    <s v="FMCG-2025-001599"/>
    <x v="37"/>
    <x v="4"/>
    <s v="North"/>
    <s v="Delhi"/>
    <s v="Rohan Iyer"/>
    <s v="B2B"/>
    <x v="2"/>
    <x v="2"/>
    <x v="0"/>
    <x v="23"/>
    <n v="343"/>
    <n v="218.75"/>
    <n v="0.15890000000000001"/>
    <n v="75031.25"/>
    <n v="3132.8500000000004"/>
    <n v="34826.049999999996"/>
    <n v="3313.8"/>
    <n v="63108.784374999996"/>
    <n v="21836.084374999999"/>
    <n v="0.34600705101919499"/>
  </r>
  <r>
    <n v="43"/>
    <s v="FMCG-2025-001657"/>
    <x v="38"/>
    <x v="9"/>
    <s v="West"/>
    <s v="Mumbai"/>
    <s v="Anika Verma"/>
    <s v="B2C"/>
    <x v="2"/>
    <x v="3"/>
    <x v="3"/>
    <x v="24"/>
    <n v="276"/>
    <n v="82.6"/>
    <n v="0.1106"/>
    <n v="22797.599999999999"/>
    <n v="2301.6000000000004"/>
    <n v="15445.150000000001"/>
    <n v="1502.55"/>
    <n v="20276.185439999997"/>
    <n v="1026.8854399999964"/>
    <n v="5.0644902762341105E-2"/>
  </r>
  <r>
    <n v="44"/>
    <s v="FMCG-2025-001717"/>
    <x v="39"/>
    <x v="11"/>
    <s v="South"/>
    <s v="Bengaluru"/>
    <s v="Anika Verma"/>
    <s v="B2C"/>
    <x v="1"/>
    <x v="2"/>
    <x v="4"/>
    <x v="14"/>
    <n v="94"/>
    <n v="103.6"/>
    <n v="7.2499999999999995E-2"/>
    <n v="9738.4"/>
    <n v="2984.8"/>
    <n v="4946.2"/>
    <n v="875.69999999999993"/>
    <n v="9032.366"/>
    <n v="225.66600000000017"/>
    <n v="2.4984151439390319E-2"/>
  </r>
  <r>
    <n v="45"/>
    <s v="FMCG-2025-001782"/>
    <x v="40"/>
    <x v="3"/>
    <s v="North"/>
    <s v="Delhi"/>
    <s v="Anika Verma"/>
    <s v="B2C"/>
    <x v="1"/>
    <x v="1"/>
    <x v="1"/>
    <x v="20"/>
    <n v="39"/>
    <n v="132.29999999999998"/>
    <n v="7.4499999999999997E-2"/>
    <n v="5159.6999999999989"/>
    <n v="837.55"/>
    <n v="2605.75"/>
    <n v="523.6"/>
    <n v="4775.302349999999"/>
    <n v="808.40234999999871"/>
    <n v="0.16928820224336139"/>
  </r>
  <r>
    <n v="46"/>
    <s v="FMCG-2025-001825"/>
    <x v="41"/>
    <x v="11"/>
    <s v="South"/>
    <s v="Bengaluru"/>
    <s v="Diya Kapoor"/>
    <s v="B2C"/>
    <x v="1"/>
    <x v="3"/>
    <x v="1"/>
    <x v="17"/>
    <n v="103"/>
    <n v="158.19999999999999"/>
    <n v="9.1899999999999996E-2"/>
    <n v="16294.599999999999"/>
    <n v="2916.5499999999997"/>
    <n v="9152.5"/>
    <n v="1545.25"/>
    <n v="14797.126259999999"/>
    <n v="1182.8262599999994"/>
    <n v="7.9936214587655985E-2"/>
  </r>
  <r>
    <n v="47"/>
    <s v="FMCG-2025-001836"/>
    <x v="42"/>
    <x v="10"/>
    <s v="West"/>
    <s v="Mumbai"/>
    <s v="Aarav Malhotra"/>
    <s v="B2C"/>
    <x v="0"/>
    <x v="2"/>
    <x v="4"/>
    <x v="9"/>
    <n v="170"/>
    <n v="133.69999999999999"/>
    <n v="6.8199999999999997E-2"/>
    <n v="22728.999999999996"/>
    <n v="2606.4499999999998"/>
    <n v="12244.05"/>
    <n v="1597.4"/>
    <n v="21178.882199999996"/>
    <n v="4730.9821999999958"/>
    <n v="0.22338205365720371"/>
  </r>
  <r>
    <n v="48"/>
    <s v="FMCG-2025-001872"/>
    <x v="43"/>
    <x v="6"/>
    <s v="South"/>
    <s v="Hyderabad"/>
    <s v="Diya Kapoor"/>
    <s v="B2B"/>
    <x v="2"/>
    <x v="3"/>
    <x v="4"/>
    <x v="14"/>
    <n v="500"/>
    <n v="94.5"/>
    <n v="0.17469999999999999"/>
    <n v="47250"/>
    <n v="3700.2"/>
    <n v="22091.65"/>
    <n v="1918.3500000000001"/>
    <n v="38995.425000000003"/>
    <n v="11285.225000000002"/>
    <n v="0.28939869228249215"/>
  </r>
  <r>
    <n v="49"/>
    <s v="FMCG-2025-001879"/>
    <x v="41"/>
    <x v="11"/>
    <s v="South"/>
    <s v="Hyderabad"/>
    <s v="Rohan Iyer"/>
    <s v="B2C"/>
    <x v="1"/>
    <x v="2"/>
    <x v="3"/>
    <x v="5"/>
    <n v="31"/>
    <n v="158.19999999999999"/>
    <n v="2.92E-2"/>
    <n v="4904.2"/>
    <n v="730.45"/>
    <n v="2976.4"/>
    <n v="567"/>
    <n v="4760.9973599999994"/>
    <n v="487.14735999999925"/>
    <n v="0.10232044321066359"/>
  </r>
  <r>
    <n v="50"/>
    <s v="FMCG-2025-001945"/>
    <x v="44"/>
    <x v="11"/>
    <s v="North"/>
    <s v="Delhi"/>
    <s v="Diya Kapoor"/>
    <s v="B2B"/>
    <x v="2"/>
    <x v="3"/>
    <x v="1"/>
    <x v="25"/>
    <n v="236"/>
    <n v="60.55"/>
    <n v="0.18789999999999998"/>
    <n v="14289.8"/>
    <n v="1202.5999999999999"/>
    <n v="6408.5"/>
    <n v="656.25"/>
    <n v="11604.746580000001"/>
    <n v="3337.396580000001"/>
    <n v="0.2875889238074168"/>
  </r>
  <r>
    <n v="51"/>
    <s v="FMCG-2025-001962"/>
    <x v="45"/>
    <x v="1"/>
    <s v="North"/>
    <s v="Delhi"/>
    <s v="Farah Siddiqui"/>
    <s v="B2C"/>
    <x v="1"/>
    <x v="2"/>
    <x v="4"/>
    <x v="14"/>
    <n v="91"/>
    <n v="102.89999999999999"/>
    <n v="3.0200000000000001E-2"/>
    <n v="9363.9"/>
    <n v="1358.3500000000001"/>
    <n v="5026.7"/>
    <n v="807.45"/>
    <n v="9081.1102200000005"/>
    <n v="1888.6102199999998"/>
    <n v="0.20797129142211862"/>
  </r>
  <r>
    <n v="52"/>
    <s v="FMCG-2025-001981"/>
    <x v="46"/>
    <x v="10"/>
    <s v="North"/>
    <s v="Delhi"/>
    <s v="Rohan Iyer"/>
    <s v="B2C"/>
    <x v="1"/>
    <x v="3"/>
    <x v="1"/>
    <x v="20"/>
    <n v="48"/>
    <n v="131.94999999999999"/>
    <n v="8.4100000000000008E-2"/>
    <n v="6333.5999999999995"/>
    <n v="927.85"/>
    <n v="3211.95"/>
    <n v="616.35"/>
    <n v="5800.9442399999989"/>
    <n v="1044.7942399999988"/>
    <n v="0.18010761641108258"/>
  </r>
  <r>
    <n v="53"/>
    <s v="FMCG-2025-002017"/>
    <x v="47"/>
    <x v="3"/>
    <s v="North"/>
    <s v="Delhi"/>
    <s v="Anika Verma"/>
    <s v="B2B"/>
    <x v="2"/>
    <x v="2"/>
    <x v="3"/>
    <x v="10"/>
    <n v="179"/>
    <n v="108.14999999999999"/>
    <n v="0.10189999999999999"/>
    <n v="19358.849999999999"/>
    <n v="1309"/>
    <n v="9639"/>
    <n v="1040.8999999999999"/>
    <n v="17386.183184999998"/>
    <n v="5397.2831849999984"/>
    <n v="0.31043519601568026"/>
  </r>
  <r>
    <n v="54"/>
    <s v="FMCG-2025-002018"/>
    <x v="48"/>
    <x v="7"/>
    <s v="North"/>
    <s v="Delhi"/>
    <s v="Diya Kapoor"/>
    <s v="B2B"/>
    <x v="3"/>
    <x v="2"/>
    <x v="1"/>
    <x v="1"/>
    <n v="502"/>
    <n v="79.8"/>
    <n v="0.15259999999999999"/>
    <n v="40059.599999999999"/>
    <n v="1409.1"/>
    <n v="16845.849999999999"/>
    <n v="1681.05"/>
    <n v="33946.505040000004"/>
    <n v="14010.505040000005"/>
    <n v="0.41272304832238493"/>
  </r>
  <r>
    <n v="55"/>
    <s v="FMCG-2025-002037"/>
    <x v="49"/>
    <x v="7"/>
    <s v="North"/>
    <s v="Delhi"/>
    <s v="Rizwan Khan"/>
    <s v="B2C"/>
    <x v="1"/>
    <x v="2"/>
    <x v="0"/>
    <x v="23"/>
    <n v="20"/>
    <n v="231.35000000000002"/>
    <n v="8.3000000000000004E-2"/>
    <n v="4627"/>
    <n v="619.5"/>
    <n v="2284.1000000000004"/>
    <n v="374.5"/>
    <n v="4242.9589999999998"/>
    <n v="964.85899999999947"/>
    <n v="0.22740238592925349"/>
  </r>
  <r>
    <n v="56"/>
    <s v="FMCG-2025-002063"/>
    <x v="50"/>
    <x v="11"/>
    <s v="North"/>
    <s v="Delhi"/>
    <s v="Rohan Iyer"/>
    <s v="B2C"/>
    <x v="1"/>
    <x v="6"/>
    <x v="2"/>
    <x v="2"/>
    <n v="48"/>
    <n v="136.15"/>
    <n v="0.1991"/>
    <n v="6535.2000000000007"/>
    <n v="1220.8000000000002"/>
    <n v="2606.4499999999998"/>
    <n v="520.44999999999993"/>
    <n v="5234.0416800000003"/>
    <n v="886.34168000000045"/>
    <n v="0.16934173134058811"/>
  </r>
  <r>
    <n v="57"/>
    <s v="FMCG-2025-002090"/>
    <x v="43"/>
    <x v="6"/>
    <s v="West"/>
    <s v="Mumbai"/>
    <s v="Rohan Iyer"/>
    <s v="B2C"/>
    <x v="1"/>
    <x v="3"/>
    <x v="3"/>
    <x v="8"/>
    <n v="70"/>
    <n v="81.199999999999989"/>
    <n v="0.1133"/>
    <n v="5683.9999999999991"/>
    <n v="1037.75"/>
    <n v="3579.1000000000004"/>
    <n v="585.19999999999993"/>
    <n v="5040.0027999999993"/>
    <n v="-162.04720000000088"/>
    <n v="-3.2152204359886645E-2"/>
  </r>
  <r>
    <n v="58"/>
    <s v="FMCG-2025-002106"/>
    <x v="51"/>
    <x v="9"/>
    <s v="South"/>
    <s v="Hyderabad"/>
    <s v="Rizwan Khan"/>
    <s v="B2C"/>
    <x v="0"/>
    <x v="3"/>
    <x v="0"/>
    <x v="12"/>
    <n v="35"/>
    <n v="83.3"/>
    <n v="8.929999999999999E-2"/>
    <n v="2915.5"/>
    <n v="391.3"/>
    <n v="1274.3499999999999"/>
    <n v="187.60000000000002"/>
    <n v="2655.1458500000003"/>
    <n v="801.89585000000056"/>
    <n v="0.30201574425751432"/>
  </r>
  <r>
    <n v="59"/>
    <s v="FMCG-2025-002125"/>
    <x v="52"/>
    <x v="10"/>
    <s v="West"/>
    <s v="Mumbai"/>
    <s v="Meera Nair"/>
    <s v="B2B"/>
    <x v="0"/>
    <x v="3"/>
    <x v="4"/>
    <x v="14"/>
    <n v="151"/>
    <n v="99.05"/>
    <n v="0.15859999999999999"/>
    <n v="14956.55"/>
    <n v="1736"/>
    <n v="7565.95"/>
    <n v="975.45"/>
    <n v="12584.44117"/>
    <n v="2307.0411699999995"/>
    <n v="0.1833248802099966"/>
  </r>
  <r>
    <n v="60"/>
    <s v="FMCG-2025-002175"/>
    <x v="53"/>
    <x v="10"/>
    <s v="South"/>
    <s v="Hyderabad"/>
    <s v="Rizwan Khan"/>
    <s v="B2B"/>
    <x v="3"/>
    <x v="1"/>
    <x v="2"/>
    <x v="3"/>
    <n v="955"/>
    <n v="158.19999999999999"/>
    <n v="0.18989999999999999"/>
    <n v="151081"/>
    <n v="9240.6999999999989"/>
    <n v="77832.649999999994"/>
    <n v="7061.9500000000007"/>
    <n v="122390.71810000001"/>
    <n v="28255.418100000024"/>
    <n v="0.23086242599633885"/>
  </r>
  <r>
    <n v="61"/>
    <s v="FMCG-2025-002197"/>
    <x v="42"/>
    <x v="10"/>
    <s v="North"/>
    <s v="Delhi"/>
    <s v="Aarav Malhotra"/>
    <s v="B2C"/>
    <x v="1"/>
    <x v="3"/>
    <x v="4"/>
    <x v="14"/>
    <n v="31"/>
    <n v="101.85000000000001"/>
    <n v="0.1114"/>
    <n v="3157.3500000000004"/>
    <n v="455.7"/>
    <n v="1509.1999999999998"/>
    <n v="245"/>
    <n v="2805.6212100000007"/>
    <n v="595.72121000000084"/>
    <n v="0.21233130398240777"/>
  </r>
  <r>
    <n v="62"/>
    <s v="FMCG-2025-002260"/>
    <x v="1"/>
    <x v="1"/>
    <s v="South"/>
    <s v="Bengaluru"/>
    <s v="Rohan Iyer"/>
    <s v="B2C"/>
    <x v="0"/>
    <x v="3"/>
    <x v="1"/>
    <x v="20"/>
    <n v="126"/>
    <n v="133"/>
    <n v="0.10339999999999999"/>
    <n v="16758"/>
    <n v="1872.85"/>
    <n v="7658"/>
    <n v="1017.0999999999999"/>
    <n v="15025.222800000001"/>
    <n v="4477.2728000000006"/>
    <n v="0.29798378763474975"/>
  </r>
  <r>
    <n v="63"/>
    <s v="FMCG-2025-002272"/>
    <x v="54"/>
    <x v="4"/>
    <s v="West"/>
    <s v="Mumbai"/>
    <s v="Aarav Malhotra"/>
    <s v="B2B"/>
    <x v="2"/>
    <x v="2"/>
    <x v="2"/>
    <x v="16"/>
    <n v="320"/>
    <n v="282.10000000000002"/>
    <n v="7.3700000000000002E-2"/>
    <n v="90272"/>
    <n v="11727.8"/>
    <n v="47261.899999999994"/>
    <n v="5113.1500000000005"/>
    <n v="83618.953600000008"/>
    <n v="19516.10360000002"/>
    <n v="0.2333933009178438"/>
  </r>
  <r>
    <n v="64"/>
    <s v="FMCG-2025-002346"/>
    <x v="55"/>
    <x v="8"/>
    <s v="West"/>
    <s v="Mumbai"/>
    <s v="Rohan Iyer"/>
    <s v="B2C"/>
    <x v="1"/>
    <x v="2"/>
    <x v="1"/>
    <x v="21"/>
    <n v="86"/>
    <n v="130.20000000000002"/>
    <n v="1.6899999999999998E-2"/>
    <n v="11197.2"/>
    <n v="1468.6000000000001"/>
    <n v="6185.2"/>
    <n v="1031.8"/>
    <n v="11007.96732"/>
    <n v="2322.3673200000003"/>
    <n v="0.2109714947809275"/>
  </r>
  <r>
    <n v="65"/>
    <s v="FMCG-2025-002369"/>
    <x v="10"/>
    <x v="7"/>
    <s v="South"/>
    <s v="Hyderabad"/>
    <s v="Meera Nair"/>
    <s v="B2B"/>
    <x v="3"/>
    <x v="4"/>
    <x v="1"/>
    <x v="21"/>
    <n v="288"/>
    <n v="141.05000000000001"/>
    <n v="0.18890000000000001"/>
    <n v="40622.400000000001"/>
    <n v="3423"/>
    <n v="18740.75"/>
    <n v="1453.2"/>
    <n v="32948.82864"/>
    <n v="9331.878639999999"/>
    <n v="0.28322338077509268"/>
  </r>
  <r>
    <n v="66"/>
    <s v="FMCG-2025-002555"/>
    <x v="56"/>
    <x v="0"/>
    <s v="South"/>
    <s v="Bengaluru"/>
    <s v="Rizwan Khan"/>
    <s v="B2B"/>
    <x v="0"/>
    <x v="3"/>
    <x v="0"/>
    <x v="11"/>
    <n v="237"/>
    <n v="183.75"/>
    <n v="0.1341"/>
    <n v="43548.75"/>
    <n v="4609.8500000000004"/>
    <n v="21661.149999999998"/>
    <n v="2992.1499999999996"/>
    <n v="37708.862625000002"/>
    <n v="8445.7126250000019"/>
    <n v="0.22397155567881574"/>
  </r>
  <r>
    <n v="67"/>
    <s v="FMCG-2025-002562"/>
    <x v="57"/>
    <x v="5"/>
    <s v="South"/>
    <s v="Bengaluru"/>
    <s v="Aarav Malhotra"/>
    <s v="B2B"/>
    <x v="0"/>
    <x v="3"/>
    <x v="4"/>
    <x v="7"/>
    <n v="249"/>
    <n v="93.800000000000011"/>
    <n v="0.1573"/>
    <n v="23356.200000000004"/>
    <n v="2957.5"/>
    <n v="12280.8"/>
    <n v="1247.4000000000001"/>
    <n v="19682.269740000003"/>
    <n v="3196.5697400000026"/>
    <n v="0.16240859322762244"/>
  </r>
  <r>
    <n v="68"/>
    <s v="FMCG-2025-002575"/>
    <x v="48"/>
    <x v="7"/>
    <s v="South"/>
    <s v="Bengaluru"/>
    <s v="Aarav Malhotra"/>
    <s v="B2B"/>
    <x v="0"/>
    <x v="2"/>
    <x v="0"/>
    <x v="11"/>
    <n v="111"/>
    <n v="192.85"/>
    <n v="9.5600000000000004E-2"/>
    <n v="21406.35"/>
    <n v="1545.25"/>
    <n v="11723.95"/>
    <n v="1243.2"/>
    <n v="19359.90294"/>
    <n v="4847.5029399999985"/>
    <n v="0.2503888038603978"/>
  </r>
  <r>
    <n v="69"/>
    <s v="FMCG-2025-002629"/>
    <x v="58"/>
    <x v="1"/>
    <s v="South"/>
    <s v="Bengaluru"/>
    <s v="Aarav Malhotra"/>
    <s v="B2B"/>
    <x v="3"/>
    <x v="1"/>
    <x v="3"/>
    <x v="13"/>
    <n v="1290"/>
    <n v="110.60000000000001"/>
    <n v="0.22359999999999999"/>
    <n v="142674"/>
    <n v="25660.25"/>
    <n v="62401.5"/>
    <n v="5708.85"/>
    <n v="110772.09359999999"/>
    <n v="17001.493599999987"/>
    <n v="0.15348173937555684"/>
  </r>
  <r>
    <n v="70"/>
    <s v="FMCG-2025-002673"/>
    <x v="59"/>
    <x v="0"/>
    <s v="West"/>
    <s v="Mumbai"/>
    <s v="Farah Siddiqui"/>
    <s v="B2B"/>
    <x v="3"/>
    <x v="1"/>
    <x v="3"/>
    <x v="10"/>
    <n v="527"/>
    <n v="110.25"/>
    <n v="0.22159999999999999"/>
    <n v="58101.75"/>
    <n v="6155.1"/>
    <n v="25669"/>
    <n v="2545.8999999999996"/>
    <n v="45226.402199999997"/>
    <n v="10856.402199999995"/>
    <n v="0.240045674028875"/>
  </r>
  <r>
    <n v="71"/>
    <s v="FMCG-2025-002705"/>
    <x v="60"/>
    <x v="5"/>
    <s v="North"/>
    <s v="Delhi"/>
    <s v="Diya Kapoor"/>
    <s v="B2B"/>
    <x v="3"/>
    <x v="0"/>
    <x v="1"/>
    <x v="25"/>
    <n v="535"/>
    <n v="59.85"/>
    <n v="0.17430000000000001"/>
    <n v="32019.75"/>
    <n v="988.75"/>
    <n v="14187.95"/>
    <n v="1119.6499999999999"/>
    <n v="26438.707575"/>
    <n v="10142.357574999998"/>
    <n v="0.38361775235149703"/>
  </r>
  <r>
    <n v="72"/>
    <s v="FMCG-2025-002707"/>
    <x v="61"/>
    <x v="4"/>
    <s v="South"/>
    <s v="Bengaluru"/>
    <s v="Farah Siddiqui"/>
    <s v="B2C"/>
    <x v="1"/>
    <x v="4"/>
    <x v="3"/>
    <x v="8"/>
    <n v="96"/>
    <n v="79.8"/>
    <n v="8.3900000000000002E-2"/>
    <n v="7660.7999999999993"/>
    <n v="1578.85"/>
    <n v="4980.5"/>
    <n v="755.3"/>
    <n v="7018.0588799999996"/>
    <n v="-296.5911200000005"/>
    <n v="-4.2261133038541919E-2"/>
  </r>
  <r>
    <n v="73"/>
    <s v="FMCG-2025-002795"/>
    <x v="62"/>
    <x v="5"/>
    <s v="North"/>
    <s v="Delhi"/>
    <s v="Anika Verma"/>
    <s v="B2C"/>
    <x v="1"/>
    <x v="2"/>
    <x v="4"/>
    <x v="14"/>
    <n v="94"/>
    <n v="101.15"/>
    <n v="4.1700000000000001E-2"/>
    <n v="9508.1"/>
    <n v="1576.3999999999999"/>
    <n v="4821.5999999999995"/>
    <n v="975.45"/>
    <n v="9111.6122300000006"/>
    <n v="1738.1622300000015"/>
    <n v="0.19076341114222345"/>
  </r>
  <r>
    <n v="74"/>
    <s v="FMCG-2025-002813"/>
    <x v="63"/>
    <x v="1"/>
    <s v="South"/>
    <s v="Bengaluru"/>
    <s v="Rohan Iyer"/>
    <s v="B2C"/>
    <x v="1"/>
    <x v="0"/>
    <x v="3"/>
    <x v="26"/>
    <n v="76"/>
    <n v="283.84999999999997"/>
    <n v="4.3200000000000002E-2"/>
    <n v="21572.6"/>
    <n v="4457.6000000000004"/>
    <n v="15180.2"/>
    <n v="2372.3000000000002"/>
    <n v="20640.663679999998"/>
    <n v="-1369.4363200000025"/>
    <n v="-6.6346525539628512E-2"/>
  </r>
  <r>
    <n v="75"/>
    <s v="FMCG-2025-002828"/>
    <x v="64"/>
    <x v="1"/>
    <s v="South"/>
    <s v="Bengaluru"/>
    <s v="Rizwan Khan"/>
    <s v="B2C"/>
    <x v="0"/>
    <x v="1"/>
    <x v="4"/>
    <x v="7"/>
    <n v="64"/>
    <n v="96.95"/>
    <n v="0.1166"/>
    <n v="6204.8"/>
    <n v="872.90000000000009"/>
    <n v="2971.5"/>
    <n v="368.2"/>
    <n v="5481.3203199999998"/>
    <n v="1268.7203199999999"/>
    <n v="0.23146253930293934"/>
  </r>
  <r>
    <n v="76"/>
    <s v="FMCG-2025-002829"/>
    <x v="65"/>
    <x v="10"/>
    <s v="North"/>
    <s v="Delhi"/>
    <s v="Nikhil Bhat"/>
    <s v="B2C"/>
    <x v="0"/>
    <x v="2"/>
    <x v="1"/>
    <x v="21"/>
    <n v="83"/>
    <n v="133"/>
    <n v="4.7100000000000003E-2"/>
    <n v="11039"/>
    <n v="1052.8"/>
    <n v="5462.1"/>
    <n v="794.15000000000009"/>
    <n v="10519.063099999999"/>
    <n v="3210.0130999999992"/>
    <n v="0.3051615024535787"/>
  </r>
  <r>
    <n v="77"/>
    <s v="FMCG-2025-002862"/>
    <x v="66"/>
    <x v="2"/>
    <s v="South"/>
    <s v="Hyderabad"/>
    <s v="Diya Kapoor"/>
    <s v="B2C"/>
    <x v="2"/>
    <x v="1"/>
    <x v="1"/>
    <x v="4"/>
    <n v="260"/>
    <n v="175.35"/>
    <n v="0.15620000000000001"/>
    <n v="45591"/>
    <n v="3392.55"/>
    <n v="20973.4"/>
    <n v="2167.2000000000003"/>
    <n v="38469.685799999999"/>
    <n v="11936.535800000001"/>
    <n v="0.31028420304904081"/>
  </r>
  <r>
    <n v="78"/>
    <s v="FMCG-2025-002881"/>
    <x v="67"/>
    <x v="1"/>
    <s v="North"/>
    <s v="Delhi"/>
    <s v="Anika Verma"/>
    <s v="B2B"/>
    <x v="2"/>
    <x v="3"/>
    <x v="3"/>
    <x v="13"/>
    <n v="287"/>
    <n v="115.15"/>
    <n v="0.1502"/>
    <n v="33048.050000000003"/>
    <n v="2848.65"/>
    <n v="17229.45"/>
    <n v="1659.7"/>
    <n v="28084.232890000003"/>
    <n v="6346.4328900000019"/>
    <n v="0.22597850241655654"/>
  </r>
  <r>
    <n v="79"/>
    <s v="FMCG-2025-002891"/>
    <x v="68"/>
    <x v="10"/>
    <s v="North"/>
    <s v="Delhi"/>
    <s v="Meera Nair"/>
    <s v="B2B"/>
    <x v="2"/>
    <x v="2"/>
    <x v="4"/>
    <x v="14"/>
    <n v="504"/>
    <n v="97.65"/>
    <n v="0.1152"/>
    <n v="49215.600000000006"/>
    <n v="2900.1"/>
    <n v="26992.7"/>
    <n v="2554.3000000000002"/>
    <n v="43545.962880000006"/>
    <n v="11098.862880000002"/>
    <n v="0.25487696553146011"/>
  </r>
  <r>
    <n v="80"/>
    <s v="FMCG-2025-002896"/>
    <x v="16"/>
    <x v="3"/>
    <s v="South"/>
    <s v="Hyderabad"/>
    <s v="Anika Verma"/>
    <s v="B2C"/>
    <x v="0"/>
    <x v="3"/>
    <x v="3"/>
    <x v="10"/>
    <n v="50"/>
    <n v="106.75"/>
    <n v="0.16820000000000002"/>
    <n v="5337.5"/>
    <n v="663.94999999999993"/>
    <n v="2868.6"/>
    <n v="379.4"/>
    <n v="4439.7325000000001"/>
    <n v="527.78250000000014"/>
    <n v="0.11887709450963546"/>
  </r>
  <r>
    <n v="81"/>
    <s v="FMCG-2025-002928"/>
    <x v="69"/>
    <x v="0"/>
    <s v="North"/>
    <s v="Delhi"/>
    <s v="Nikhil Bhat"/>
    <s v="B2B"/>
    <x v="0"/>
    <x v="5"/>
    <x v="3"/>
    <x v="26"/>
    <n v="38"/>
    <n v="241.85"/>
    <n v="0.1779"/>
    <n v="9190.2999999999993"/>
    <n v="1307.5999999999999"/>
    <n v="5684.7"/>
    <n v="564.9"/>
    <n v="7555.3456299999998"/>
    <n v="-1.8543699999995624"/>
    <n v="-2.4543814284768366E-4"/>
  </r>
  <r>
    <n v="82"/>
    <s v="FMCG-2025-003044"/>
    <x v="8"/>
    <x v="1"/>
    <s v="North"/>
    <s v="Delhi"/>
    <s v="Anika Verma"/>
    <s v="B2C"/>
    <x v="0"/>
    <x v="2"/>
    <x v="0"/>
    <x v="11"/>
    <n v="164"/>
    <n v="196.35000000000002"/>
    <n v="2.0799999999999999E-2"/>
    <n v="32201.400000000005"/>
    <n v="2604"/>
    <n v="17854.2"/>
    <n v="2464.35"/>
    <n v="31531.610880000004"/>
    <n v="8609.0608800000045"/>
    <n v="0.27302952940664993"/>
  </r>
  <r>
    <n v="83"/>
    <s v="FMCG-2025-003060"/>
    <x v="70"/>
    <x v="9"/>
    <s v="South"/>
    <s v="Hyderabad"/>
    <s v="Rohan Iyer"/>
    <s v="B2B"/>
    <x v="0"/>
    <x v="4"/>
    <x v="2"/>
    <x v="22"/>
    <n v="149"/>
    <n v="149.44999999999999"/>
    <n v="0.14130000000000001"/>
    <n v="22268.05"/>
    <n v="3418.4500000000003"/>
    <n v="10417.75"/>
    <n v="1724.8"/>
    <n v="19121.574535"/>
    <n v="3560.5745350000002"/>
    <n v="0.18620718333015668"/>
  </r>
  <r>
    <n v="84"/>
    <s v="FMCG-2025-003083"/>
    <x v="52"/>
    <x v="10"/>
    <s v="West"/>
    <s v="Mumbai"/>
    <s v="Diya Kapoor"/>
    <s v="B2B"/>
    <x v="3"/>
    <x v="5"/>
    <x v="1"/>
    <x v="21"/>
    <n v="811"/>
    <n v="138.95000000000002"/>
    <n v="0.28000000000000003"/>
    <n v="112688.45000000001"/>
    <n v="8804.25"/>
    <n v="44321.549999999996"/>
    <n v="3390.7999999999997"/>
    <n v="81135.684000000008"/>
    <n v="24619.08400000001"/>
    <n v="0.30343102795559113"/>
  </r>
  <r>
    <n v="85"/>
    <s v="FMCG-2025-003096"/>
    <x v="71"/>
    <x v="1"/>
    <s v="South"/>
    <s v="Hyderabad"/>
    <s v="Rohan Iyer"/>
    <s v="B2B"/>
    <x v="0"/>
    <x v="0"/>
    <x v="0"/>
    <x v="23"/>
    <n v="165"/>
    <n v="212.1"/>
    <n v="0.1419"/>
    <n v="34996.5"/>
    <n v="2637.9500000000003"/>
    <n v="18479.650000000001"/>
    <n v="1913.45"/>
    <n v="30030.496649999997"/>
    <n v="6999.4466499999944"/>
    <n v="0.23307795177606544"/>
  </r>
  <r>
    <n v="86"/>
    <s v="FMCG-2025-003100"/>
    <x v="72"/>
    <x v="0"/>
    <s v="North"/>
    <s v="Delhi"/>
    <s v="Farah Siddiqui"/>
    <s v="B2C"/>
    <x v="1"/>
    <x v="1"/>
    <x v="4"/>
    <x v="7"/>
    <n v="86"/>
    <n v="96.25"/>
    <n v="0.122"/>
    <n v="8277.5"/>
    <n v="1400"/>
    <n v="4106.2"/>
    <n v="767.90000000000009"/>
    <n v="7267.6450000000004"/>
    <n v="993.54500000000098"/>
    <n v="0.13670797073880203"/>
  </r>
  <r>
    <n v="87"/>
    <s v="FMCG-2025-003130"/>
    <x v="56"/>
    <x v="0"/>
    <s v="North"/>
    <s v="Delhi"/>
    <s v="Nikhil Bhat"/>
    <s v="B2C"/>
    <x v="1"/>
    <x v="5"/>
    <x v="3"/>
    <x v="26"/>
    <n v="83"/>
    <n v="249.20000000000002"/>
    <n v="0.1143"/>
    <n v="20683.600000000002"/>
    <n v="4050.55"/>
    <n v="13593.3"/>
    <n v="1830.8500000000001"/>
    <n v="18319.464520000001"/>
    <n v="-1155.2354799999966"/>
    <n v="-6.3060548453192269E-2"/>
  </r>
  <r>
    <n v="88"/>
    <s v="FMCG-2025-003169"/>
    <x v="73"/>
    <x v="11"/>
    <s v="North"/>
    <s v="Delhi"/>
    <s v="Aarav Malhotra"/>
    <s v="B2C"/>
    <x v="1"/>
    <x v="1"/>
    <x v="1"/>
    <x v="1"/>
    <n v="65"/>
    <n v="85.75"/>
    <n v="0.14460000000000001"/>
    <n v="5573.75"/>
    <n v="819"/>
    <n v="2431.4499999999998"/>
    <n v="452.2"/>
    <n v="4767.78575"/>
    <n v="1065.1357500000004"/>
    <n v="0.22340260360902342"/>
  </r>
  <r>
    <n v="89"/>
    <s v="FMCG-2025-003183"/>
    <x v="74"/>
    <x v="3"/>
    <s v="West"/>
    <s v="Mumbai"/>
    <s v="Diya Kapoor"/>
    <s v="B2B"/>
    <x v="2"/>
    <x v="3"/>
    <x v="3"/>
    <x v="26"/>
    <n v="471"/>
    <n v="246.05"/>
    <n v="0.1638"/>
    <n v="115889.55"/>
    <n v="11248.65"/>
    <n v="72251.55"/>
    <n v="5671.75"/>
    <n v="96906.841710000008"/>
    <n v="7734.8917100000053"/>
    <n v="7.9817808252869993E-2"/>
  </r>
  <r>
    <n v="90"/>
    <s v="FMCG-2025-003198"/>
    <x v="75"/>
    <x v="4"/>
    <s v="West"/>
    <s v="Mumbai"/>
    <s v="Farah Siddiqui"/>
    <s v="B2C"/>
    <x v="1"/>
    <x v="3"/>
    <x v="2"/>
    <x v="22"/>
    <n v="33"/>
    <n v="133"/>
    <n v="0.11449999999999999"/>
    <n v="4389"/>
    <n v="544.6"/>
    <n v="2143.75"/>
    <n v="387.1"/>
    <n v="3886.4594999999999"/>
    <n v="811.0095"/>
    <n v="0.20867565968460497"/>
  </r>
  <r>
    <n v="91"/>
    <s v="FMCG-2025-003224"/>
    <x v="76"/>
    <x v="0"/>
    <s v="South"/>
    <s v="Bengaluru"/>
    <s v="Nikhil Bhat"/>
    <s v="B2B"/>
    <x v="0"/>
    <x v="3"/>
    <x v="0"/>
    <x v="0"/>
    <n v="33"/>
    <n v="163.1"/>
    <n v="0.1812"/>
    <n v="5382.3"/>
    <n v="602.35"/>
    <n v="2473.4500000000003"/>
    <n v="298.89999999999998"/>
    <n v="4407.0272400000003"/>
    <n v="1032.3272400000005"/>
    <n v="0.23424571344378631"/>
  </r>
  <r>
    <n v="92"/>
    <s v="FMCG-2025-003228"/>
    <x v="77"/>
    <x v="4"/>
    <s v="North"/>
    <s v="Delhi"/>
    <s v="Rizwan Khan"/>
    <s v="B2B"/>
    <x v="2"/>
    <x v="4"/>
    <x v="4"/>
    <x v="14"/>
    <n v="701"/>
    <n v="104.65"/>
    <n v="0.19339999999999999"/>
    <n v="73359.650000000009"/>
    <n v="8613.5"/>
    <n v="36258.950000000004"/>
    <n v="3020.85"/>
    <n v="59171.893690000004"/>
    <n v="11278.593690000002"/>
    <n v="0.19060727968397054"/>
  </r>
  <r>
    <n v="93"/>
    <s v="FMCG-2025-003277"/>
    <x v="78"/>
    <x v="4"/>
    <s v="South"/>
    <s v="Bengaluru"/>
    <s v="Anika Verma"/>
    <s v="B2B"/>
    <x v="2"/>
    <x v="0"/>
    <x v="2"/>
    <x v="22"/>
    <n v="371"/>
    <n v="134.75"/>
    <n v="0.21309999999999998"/>
    <n v="49992.25"/>
    <n v="3691.45"/>
    <n v="23586.5"/>
    <n v="2361.4499999999998"/>
    <n v="39338.901525000001"/>
    <n v="9699.5015250000033"/>
    <n v="0.24656259196347763"/>
  </r>
  <r>
    <n v="94"/>
    <s v="FMCG-2025-003313"/>
    <x v="79"/>
    <x v="5"/>
    <s v="South"/>
    <s v="Hyderabad"/>
    <s v="Meera Nair"/>
    <s v="B2B"/>
    <x v="3"/>
    <x v="6"/>
    <x v="0"/>
    <x v="0"/>
    <n v="739"/>
    <n v="149.1"/>
    <n v="0.28000000000000003"/>
    <n v="110184.9"/>
    <n v="7417.2"/>
    <n v="48820.45"/>
    <n v="3430.7"/>
    <n v="79333.127999999997"/>
    <n v="19664.778000000002"/>
    <n v="0.24787599450257405"/>
  </r>
  <r>
    <n v="95"/>
    <s v="FMCG-2025-003354"/>
    <x v="80"/>
    <x v="2"/>
    <s v="West"/>
    <s v="Mumbai"/>
    <s v="Aarav Malhotra"/>
    <s v="B2C"/>
    <x v="1"/>
    <x v="3"/>
    <x v="3"/>
    <x v="13"/>
    <n v="116"/>
    <n v="129.85"/>
    <n v="0.1323"/>
    <n v="15062.599999999999"/>
    <n v="2292.8500000000004"/>
    <n v="7801.8499999999995"/>
    <n v="1353.45"/>
    <n v="13069.818019999999"/>
    <n v="1621.6680199999983"/>
    <n v="0.12407732208041856"/>
  </r>
  <r>
    <n v="96"/>
    <s v="FMCG-2025-003390"/>
    <x v="81"/>
    <x v="10"/>
    <s v="West"/>
    <s v="Mumbai"/>
    <s v="Farah Siddiqui"/>
    <s v="B2C"/>
    <x v="1"/>
    <x v="1"/>
    <x v="4"/>
    <x v="7"/>
    <n v="41"/>
    <n v="92.75"/>
    <n v="0.14169999999999999"/>
    <n v="3802.75"/>
    <n v="571.54999999999995"/>
    <n v="2040.8500000000001"/>
    <n v="301.34999999999997"/>
    <n v="3263.9003250000001"/>
    <n v="350.15032500000007"/>
    <n v="0.10727972368457669"/>
  </r>
  <r>
    <n v="97"/>
    <s v="FMCG-2025-003447"/>
    <x v="82"/>
    <x v="1"/>
    <s v="South"/>
    <s v="Hyderabad"/>
    <s v="Farah Siddiqui"/>
    <s v="B2B"/>
    <x v="2"/>
    <x v="1"/>
    <x v="1"/>
    <x v="20"/>
    <n v="439"/>
    <n v="127.4"/>
    <n v="0.24350000000000002"/>
    <n v="55928.600000000006"/>
    <n v="4425.75"/>
    <n v="21150.85"/>
    <n v="2221.4499999999998"/>
    <n v="42309.9859"/>
    <n v="14511.935900000004"/>
    <n v="0.34299079972040369"/>
  </r>
  <r>
    <n v="98"/>
    <s v="FMCG-2025-003450"/>
    <x v="48"/>
    <x v="7"/>
    <s v="South"/>
    <s v="Hyderabad"/>
    <s v="Anika Verma"/>
    <s v="B2B"/>
    <x v="0"/>
    <x v="5"/>
    <x v="1"/>
    <x v="25"/>
    <n v="233"/>
    <n v="59.5"/>
    <n v="0.18729999999999999"/>
    <n v="13863.5"/>
    <n v="1523.2"/>
    <n v="6178.55"/>
    <n v="707"/>
    <n v="11266.86645"/>
    <n v="2858.1164499999995"/>
    <n v="0.25367447663320797"/>
  </r>
  <r>
    <n v="99"/>
    <s v="FMCG-2025-003485"/>
    <x v="67"/>
    <x v="1"/>
    <s v="South"/>
    <s v="Bengaluru"/>
    <s v="Rohan Iyer"/>
    <s v="B2B"/>
    <x v="2"/>
    <x v="4"/>
    <x v="2"/>
    <x v="2"/>
    <n v="256"/>
    <n v="140.69999999999999"/>
    <n v="0.1759"/>
    <n v="36019.199999999997"/>
    <n v="3885"/>
    <n v="15195.25"/>
    <n v="1994.65"/>
    <n v="29683.422719999999"/>
    <n v="8608.5227199999972"/>
    <n v="0.29001112173630084"/>
  </r>
  <r>
    <n v="100"/>
    <s v="FMCG-2025-003518"/>
    <x v="83"/>
    <x v="4"/>
    <s v="West"/>
    <s v="Mumbai"/>
    <s v="Nikhil Bhat"/>
    <s v="B2B"/>
    <x v="0"/>
    <x v="1"/>
    <x v="2"/>
    <x v="18"/>
    <n v="80"/>
    <n v="144.89999999999998"/>
    <n v="0.19320000000000001"/>
    <n v="11591.999999999998"/>
    <n v="1038.0999999999999"/>
    <n v="5476.45"/>
    <n v="850.15"/>
    <n v="9352.4255999999987"/>
    <n v="1987.7255999999993"/>
    <n v="0.21253583669246184"/>
  </r>
  <r>
    <n v="101"/>
    <s v="FMCG-2025-003554"/>
    <x v="84"/>
    <x v="8"/>
    <s v="North"/>
    <s v="Delhi"/>
    <s v="Rohan Iyer"/>
    <s v="B2C"/>
    <x v="1"/>
    <x v="4"/>
    <x v="4"/>
    <x v="27"/>
    <n v="28"/>
    <n v="107.10000000000001"/>
    <n v="8.5999999999999993E-2"/>
    <n v="2998.8"/>
    <n v="496.3"/>
    <n v="1598.1"/>
    <n v="276.85000000000002"/>
    <n v="2740.9032000000002"/>
    <n v="369.65320000000037"/>
    <n v="0.1348654706229685"/>
  </r>
  <r>
    <n v="102"/>
    <s v="FMCG-2025-003566"/>
    <x v="85"/>
    <x v="0"/>
    <s v="South"/>
    <s v="Bengaluru"/>
    <s v="Anika Verma"/>
    <s v="B2C"/>
    <x v="0"/>
    <x v="2"/>
    <x v="2"/>
    <x v="18"/>
    <n v="19"/>
    <n v="156.1"/>
    <n v="6.0400000000000002E-2"/>
    <n v="2965.9"/>
    <n v="748.65"/>
    <n v="1436.3999999999999"/>
    <n v="222.25"/>
    <n v="2786.7596400000002"/>
    <n v="379.45964000000038"/>
    <n v="0.13616518430703278"/>
  </r>
  <r>
    <n v="103"/>
    <s v="FMCG-2025-003574"/>
    <x v="86"/>
    <x v="4"/>
    <s v="South"/>
    <s v="Bengaluru"/>
    <s v="Nikhil Bhat"/>
    <s v="B2B"/>
    <x v="0"/>
    <x v="3"/>
    <x v="4"/>
    <x v="9"/>
    <n v="146"/>
    <n v="142.45000000000002"/>
    <n v="0.12429999999999999"/>
    <n v="20797.7"/>
    <n v="2380"/>
    <n v="10786.300000000001"/>
    <n v="1340.1499999999999"/>
    <n v="18212.545890000001"/>
    <n v="3706.0958899999987"/>
    <n v="0.20349136866334058"/>
  </r>
  <r>
    <n v="104"/>
    <s v="FMCG-2025-003606"/>
    <x v="87"/>
    <x v="0"/>
    <s v="South"/>
    <s v="Hyderabad"/>
    <s v="Nikhil Bhat"/>
    <s v="B2B"/>
    <x v="2"/>
    <x v="1"/>
    <x v="2"/>
    <x v="19"/>
    <n v="417"/>
    <n v="84"/>
    <n v="0.13369999999999999"/>
    <n v="35028"/>
    <n v="3204.95"/>
    <n v="15964.55"/>
    <n v="2237.2000000000003"/>
    <n v="30344.756400000002"/>
    <n v="8938.0564000000013"/>
    <n v="0.29455027689726321"/>
  </r>
  <r>
    <n v="105"/>
    <s v="FMCG-2025-003610"/>
    <x v="88"/>
    <x v="7"/>
    <s v="South"/>
    <s v="Bengaluru"/>
    <s v="Meera Nair"/>
    <s v="B2C"/>
    <x v="3"/>
    <x v="3"/>
    <x v="3"/>
    <x v="24"/>
    <n v="177"/>
    <n v="88.2"/>
    <n v="0.1421"/>
    <n v="15611.4"/>
    <n v="1037.05"/>
    <n v="9186.0999999999985"/>
    <n v="845.95"/>
    <n v="13393.020059999999"/>
    <n v="2323.9200599999995"/>
    <n v="0.17351725373283727"/>
  </r>
  <r>
    <n v="106"/>
    <s v="FMCG-2025-003627"/>
    <x v="89"/>
    <x v="10"/>
    <s v="West"/>
    <s v="Mumbai"/>
    <s v="Diya Kapoor"/>
    <s v="B2B"/>
    <x v="0"/>
    <x v="2"/>
    <x v="0"/>
    <x v="12"/>
    <n v="113"/>
    <n v="79.099999999999994"/>
    <n v="9.4200000000000006E-2"/>
    <n v="8938.2999999999993"/>
    <n v="771.4"/>
    <n v="3886.05"/>
    <n v="519.4"/>
    <n v="8096.3121399999991"/>
    <n v="2919.4621399999992"/>
    <n v="0.36059159893012716"/>
  </r>
  <r>
    <n v="107"/>
    <s v="FMCG-2025-003628"/>
    <x v="90"/>
    <x v="6"/>
    <s v="South"/>
    <s v="Hyderabad"/>
    <s v="Aarav Malhotra"/>
    <s v="B2B"/>
    <x v="2"/>
    <x v="2"/>
    <x v="1"/>
    <x v="4"/>
    <n v="188"/>
    <n v="168"/>
    <n v="9.6099999999999991E-2"/>
    <n v="31584"/>
    <n v="1698.55"/>
    <n v="16470.649999999998"/>
    <n v="1600.2"/>
    <n v="28548.777600000001"/>
    <n v="8779.3776000000034"/>
    <n v="0.30752201453276945"/>
  </r>
  <r>
    <n v="108"/>
    <s v="FMCG-2025-003683"/>
    <x v="91"/>
    <x v="0"/>
    <s v="West"/>
    <s v="Mumbai"/>
    <s v="Meera Nair"/>
    <s v="B2C"/>
    <x v="1"/>
    <x v="5"/>
    <x v="1"/>
    <x v="25"/>
    <n v="82"/>
    <n v="60.199999999999996"/>
    <n v="0.1714"/>
    <n v="4936.3999999999996"/>
    <n v="702.45"/>
    <n v="2207.4499999999998"/>
    <n v="448.35"/>
    <n v="4090.3010399999998"/>
    <n v="732.05104000000006"/>
    <n v="0.17897241128247129"/>
  </r>
  <r>
    <n v="109"/>
    <s v="FMCG-2025-003713"/>
    <x v="92"/>
    <x v="3"/>
    <s v="South"/>
    <s v="Bengaluru"/>
    <s v="Aarav Malhotra"/>
    <s v="B2B"/>
    <x v="0"/>
    <x v="2"/>
    <x v="4"/>
    <x v="15"/>
    <n v="206"/>
    <n v="74.55"/>
    <n v="6.0499999999999998E-2"/>
    <n v="15357.3"/>
    <n v="1653.75"/>
    <n v="8259.65"/>
    <n v="973.34999999999991"/>
    <n v="14428.183349999999"/>
    <n v="3541.4333499999993"/>
    <n v="0.2454524775636428"/>
  </r>
  <r>
    <n v="110"/>
    <s v="FMCG-2025-003774"/>
    <x v="93"/>
    <x v="7"/>
    <s v="South"/>
    <s v="Hyderabad"/>
    <s v="Meera Nair"/>
    <s v="B2B"/>
    <x v="0"/>
    <x v="2"/>
    <x v="1"/>
    <x v="1"/>
    <n v="226"/>
    <n v="77.7"/>
    <n v="0.13739999999999999"/>
    <n v="17560.2"/>
    <n v="3574.9"/>
    <n v="7937.65"/>
    <n v="1134"/>
    <n v="15147.428520000001"/>
    <n v="2500.8785200000016"/>
    <n v="0.16510251338687296"/>
  </r>
  <r>
    <n v="111"/>
    <s v="FMCG-2025-003796"/>
    <x v="44"/>
    <x v="11"/>
    <s v="South"/>
    <s v="Hyderabad"/>
    <s v="Rohan Iyer"/>
    <s v="B2C"/>
    <x v="1"/>
    <x v="3"/>
    <x v="2"/>
    <x v="18"/>
    <n v="46"/>
    <n v="149.80000000000001"/>
    <n v="0.1152"/>
    <n v="6890.8"/>
    <n v="911.75"/>
    <n v="3439.8"/>
    <n v="714.35"/>
    <n v="6096.97984"/>
    <n v="1031.0798399999994"/>
    <n v="0.16911321130430365"/>
  </r>
  <r>
    <n v="112"/>
    <s v="FMCG-2025-003866"/>
    <x v="94"/>
    <x v="10"/>
    <s v="North"/>
    <s v="Delhi"/>
    <s v="Aarav Malhotra"/>
    <s v="B2B"/>
    <x v="0"/>
    <x v="2"/>
    <x v="4"/>
    <x v="14"/>
    <n v="37"/>
    <n v="95.9"/>
    <n v="5.5899999999999998E-2"/>
    <n v="3548.3"/>
    <n v="337.75"/>
    <n v="1943.55"/>
    <n v="223.29999999999998"/>
    <n v="3349.9500300000004"/>
    <n v="845.35003000000029"/>
    <n v="0.25234705665146895"/>
  </r>
  <r>
    <n v="113"/>
    <s v="FMCG-2025-003910"/>
    <x v="95"/>
    <x v="3"/>
    <s v="North"/>
    <s v="Delhi"/>
    <s v="Diya Kapoor"/>
    <s v="B2B"/>
    <x v="0"/>
    <x v="5"/>
    <x v="0"/>
    <x v="6"/>
    <n v="139"/>
    <n v="86.45"/>
    <n v="0.1993"/>
    <n v="12016.550000000001"/>
    <n v="1514.1"/>
    <n v="5082.7"/>
    <n v="709.1"/>
    <n v="9621.6515849999996"/>
    <n v="2315.7515849999995"/>
    <n v="0.24068129723281803"/>
  </r>
  <r>
    <n v="114"/>
    <s v="FMCG-2025-003929"/>
    <x v="66"/>
    <x v="2"/>
    <s v="South"/>
    <s v="Bengaluru"/>
    <s v="Diya Kapoor"/>
    <s v="B2C"/>
    <x v="2"/>
    <x v="1"/>
    <x v="3"/>
    <x v="13"/>
    <n v="291"/>
    <n v="113.4"/>
    <n v="0.19870000000000002"/>
    <n v="32999.4"/>
    <n v="2683.4500000000003"/>
    <n v="16824.5"/>
    <n v="1700.65"/>
    <n v="26442.41922"/>
    <n v="5233.8192199999976"/>
    <n v="0.19793269202998429"/>
  </r>
  <r>
    <n v="115"/>
    <s v="FMCG-2025-003935"/>
    <x v="96"/>
    <x v="3"/>
    <s v="West"/>
    <s v="Mumbai"/>
    <s v="Rohan Iyer"/>
    <s v="B2B"/>
    <x v="0"/>
    <x v="4"/>
    <x v="0"/>
    <x v="12"/>
    <n v="234"/>
    <n v="79.45"/>
    <n v="0.15759999999999999"/>
    <n v="18591.3"/>
    <n v="5021.7999999999993"/>
    <n v="7517.65"/>
    <n v="1121.3999999999999"/>
    <n v="15661.31112"/>
    <n v="2000.4611200000018"/>
    <n v="0.12773267223108467"/>
  </r>
  <r>
    <n v="116"/>
    <s v="FMCG-2025-003953"/>
    <x v="97"/>
    <x v="3"/>
    <s v="South"/>
    <s v="Hyderabad"/>
    <s v="Rizwan Khan"/>
    <s v="B2B"/>
    <x v="3"/>
    <x v="2"/>
    <x v="1"/>
    <x v="21"/>
    <n v="555"/>
    <n v="144.89999999999998"/>
    <n v="0.1661"/>
    <n v="80419.499999999985"/>
    <n v="4137.7"/>
    <n v="36288.35"/>
    <n v="3126.9"/>
    <n v="67061.821049999984"/>
    <n v="23508.871049999983"/>
    <n v="0.35055521430699338"/>
  </r>
  <r>
    <n v="117"/>
    <s v="FMCG-2025-003960"/>
    <x v="30"/>
    <x v="2"/>
    <s v="South"/>
    <s v="Bengaluru"/>
    <s v="Rohan Iyer"/>
    <s v="B2C"/>
    <x v="0"/>
    <x v="2"/>
    <x v="3"/>
    <x v="26"/>
    <n v="163"/>
    <n v="268.8"/>
    <n v="0.10369999999999999"/>
    <n v="43814.400000000001"/>
    <n v="3727.5"/>
    <n v="28988.05"/>
    <n v="3456.95"/>
    <n v="39270.846720000001"/>
    <n v="3098.346720000005"/>
    <n v="7.889686571036085E-2"/>
  </r>
  <r>
    <n v="118"/>
    <s v="FMCG-2025-003988"/>
    <x v="98"/>
    <x v="10"/>
    <s v="South"/>
    <s v="Hyderabad"/>
    <s v="Aarav Malhotra"/>
    <s v="B2B"/>
    <x v="2"/>
    <x v="2"/>
    <x v="4"/>
    <x v="15"/>
    <n v="379"/>
    <n v="67.2"/>
    <n v="8.3800000000000013E-2"/>
    <n v="25468.799999999999"/>
    <n v="1648.85"/>
    <n v="13265.699999999999"/>
    <n v="1161.6499999999999"/>
    <n v="23334.51456"/>
    <n v="7258.3145599999989"/>
    <n v="0.3110548771578987"/>
  </r>
  <r>
    <n v="119"/>
    <s v="FMCG-2025-004009"/>
    <x v="97"/>
    <x v="3"/>
    <s v="West"/>
    <s v="Mumbai"/>
    <s v="Diya Kapoor"/>
    <s v="B2C"/>
    <x v="1"/>
    <x v="5"/>
    <x v="4"/>
    <x v="28"/>
    <n v="27"/>
    <n v="76.649999999999991"/>
    <n v="0.15079999999999999"/>
    <n v="2069.5499999999997"/>
    <n v="418.6"/>
    <n v="1016.4"/>
    <n v="154.35"/>
    <n v="1757.4618599999997"/>
    <n v="168.11185999999975"/>
    <n v="9.5656050254199987E-2"/>
  </r>
  <r>
    <n v="120"/>
    <s v="FMCG-2025-004020"/>
    <x v="95"/>
    <x v="3"/>
    <s v="South"/>
    <s v="Bengaluru"/>
    <s v="Diya Kapoor"/>
    <s v="B2C"/>
    <x v="0"/>
    <x v="2"/>
    <x v="3"/>
    <x v="10"/>
    <n v="34"/>
    <n v="118.3"/>
    <n v="3.1400000000000004E-2"/>
    <n v="4022.2"/>
    <n v="425.6"/>
    <n v="2441.25"/>
    <n v="319.55"/>
    <n v="3895.90292"/>
    <n v="709.50291999999979"/>
    <n v="0.18211514366995565"/>
  </r>
  <r>
    <n v="121"/>
    <s v="FMCG-2025-004108"/>
    <x v="99"/>
    <x v="9"/>
    <s v="South"/>
    <s v="Hyderabad"/>
    <s v="Aarav Malhotra"/>
    <s v="B2C"/>
    <x v="1"/>
    <x v="2"/>
    <x v="1"/>
    <x v="4"/>
    <n v="106"/>
    <n v="181.65"/>
    <n v="5.8499999999999996E-2"/>
    <n v="19254.900000000001"/>
    <n v="2663.15"/>
    <n v="10623.900000000001"/>
    <n v="1886.85"/>
    <n v="18128.48835"/>
    <n v="2954.5883499999977"/>
    <n v="0.16298040371358363"/>
  </r>
  <r>
    <n v="122"/>
    <s v="FMCG-2025-004144"/>
    <x v="100"/>
    <x v="2"/>
    <s v="North"/>
    <s v="Delhi"/>
    <s v="Farah Siddiqui"/>
    <s v="B2B"/>
    <x v="2"/>
    <x v="5"/>
    <x v="4"/>
    <x v="7"/>
    <n v="214"/>
    <n v="86.45"/>
    <n v="0.1946"/>
    <n v="18500.3"/>
    <n v="2073.75"/>
    <n v="9219.7000000000007"/>
    <n v="852.25"/>
    <n v="14900.14162"/>
    <n v="2754.4416199999996"/>
    <n v="0.18486009665188669"/>
  </r>
  <r>
    <n v="123"/>
    <s v="FMCG-2025-004229"/>
    <x v="101"/>
    <x v="11"/>
    <s v="North"/>
    <s v="Delhi"/>
    <s v="Diya Kapoor"/>
    <s v="B2B"/>
    <x v="3"/>
    <x v="2"/>
    <x v="3"/>
    <x v="8"/>
    <n v="726"/>
    <n v="72.100000000000009"/>
    <n v="0.1368"/>
    <n v="52344.600000000006"/>
    <n v="2405.8999999999996"/>
    <n v="32063.850000000002"/>
    <n v="2806.3"/>
    <n v="45183.858720000004"/>
    <n v="7907.8087199999991"/>
    <n v="0.1750140192541749"/>
  </r>
  <r>
    <n v="124"/>
    <s v="FMCG-2025-004297"/>
    <x v="72"/>
    <x v="0"/>
    <s v="South"/>
    <s v="Hyderabad"/>
    <s v="Aarav Malhotra"/>
    <s v="B2B"/>
    <x v="3"/>
    <x v="3"/>
    <x v="0"/>
    <x v="11"/>
    <n v="1076"/>
    <n v="201.95"/>
    <n v="0.1421"/>
    <n v="217298.19999999998"/>
    <n v="14133"/>
    <n v="104703.55"/>
    <n v="7529.2"/>
    <n v="186420.12577999997"/>
    <n v="60054.375779999958"/>
    <n v="0.32214534524492244"/>
  </r>
  <r>
    <n v="125"/>
    <s v="FMCG-2025-004331"/>
    <x v="95"/>
    <x v="3"/>
    <s v="South"/>
    <s v="Bengaluru"/>
    <s v="Meera Nair"/>
    <s v="B2B"/>
    <x v="2"/>
    <x v="2"/>
    <x v="1"/>
    <x v="20"/>
    <n v="530"/>
    <n v="123.9"/>
    <n v="0.12659999999999999"/>
    <n v="65667"/>
    <n v="3498.25"/>
    <n v="33070.1"/>
    <n v="3472.35"/>
    <n v="57353.557799999995"/>
    <n v="17312.857799999998"/>
    <n v="0.30186196748896366"/>
  </r>
  <r>
    <n v="126"/>
    <s v="FMCG-2025-004364"/>
    <x v="35"/>
    <x v="7"/>
    <s v="West"/>
    <s v="Mumbai"/>
    <s v="Aarav Malhotra"/>
    <s v="B2B"/>
    <x v="2"/>
    <x v="1"/>
    <x v="4"/>
    <x v="7"/>
    <n v="198"/>
    <n v="90.649999999999991"/>
    <n v="0.2079"/>
    <n v="17948.699999999997"/>
    <n v="1589.35"/>
    <n v="8264.5499999999993"/>
    <n v="857.5"/>
    <n v="14217.165269999998"/>
    <n v="3505.7652699999985"/>
    <n v="0.24658679866355659"/>
  </r>
  <r>
    <n v="127"/>
    <s v="FMCG-2025-004400"/>
    <x v="102"/>
    <x v="1"/>
    <s v="West"/>
    <s v="Mumbai"/>
    <s v="Farah Siddiqui"/>
    <s v="B2B"/>
    <x v="3"/>
    <x v="4"/>
    <x v="4"/>
    <x v="28"/>
    <n v="226"/>
    <n v="65.8"/>
    <n v="0.19329999999999997"/>
    <n v="14870.8"/>
    <n v="1317.4"/>
    <n v="8187.2"/>
    <n v="579.25"/>
    <n v="11996.274359999999"/>
    <n v="1912.4243599999995"/>
    <n v="0.15941819123249859"/>
  </r>
  <r>
    <n v="128"/>
    <s v="FMCG-2025-004410"/>
    <x v="103"/>
    <x v="10"/>
    <s v="West"/>
    <s v="Mumbai"/>
    <s v="Farah Siddiqui"/>
    <s v="B2C"/>
    <x v="1"/>
    <x v="2"/>
    <x v="2"/>
    <x v="2"/>
    <n v="39"/>
    <n v="155.75"/>
    <n v="2.4300000000000002E-2"/>
    <n v="6074.25"/>
    <n v="939.4"/>
    <n v="2856.35"/>
    <n v="639.80000000000007"/>
    <n v="5926.6457250000003"/>
    <n v="1491.0957250000001"/>
    <n v="0.25159184371527454"/>
  </r>
  <r>
    <n v="129"/>
    <s v="FMCG-2025-004437"/>
    <x v="104"/>
    <x v="1"/>
    <s v="South"/>
    <s v="Hyderabad"/>
    <s v="Rizwan Khan"/>
    <s v="B2C"/>
    <x v="0"/>
    <x v="1"/>
    <x v="4"/>
    <x v="14"/>
    <n v="193"/>
    <n v="94.149999999999991"/>
    <n v="0.1656"/>
    <n v="18170.949999999997"/>
    <n v="2065"/>
    <n v="8418.5499999999993"/>
    <n v="1045.0999999999999"/>
    <n v="15161.840679999998"/>
    <n v="3633.1906799999979"/>
    <n v="0.23962728251013377"/>
  </r>
  <r>
    <n v="130"/>
    <s v="FMCG-2025-004441"/>
    <x v="105"/>
    <x v="10"/>
    <s v="South"/>
    <s v="Hyderabad"/>
    <s v="Farah Siddiqui"/>
    <s v="B2B"/>
    <x v="0"/>
    <x v="4"/>
    <x v="1"/>
    <x v="21"/>
    <n v="255"/>
    <n v="152.25"/>
    <n v="0.22769999999999999"/>
    <n v="38823.75"/>
    <n v="4774.7"/>
    <n v="16903.599999999999"/>
    <n v="2111.9"/>
    <n v="29983.582125000001"/>
    <n v="6193.382125000001"/>
    <n v="0.20655911288985124"/>
  </r>
  <r>
    <n v="131"/>
    <s v="FMCG-2025-004459"/>
    <x v="54"/>
    <x v="4"/>
    <s v="South"/>
    <s v="Hyderabad"/>
    <s v="Rohan Iyer"/>
    <s v="B2B"/>
    <x v="2"/>
    <x v="1"/>
    <x v="2"/>
    <x v="19"/>
    <n v="220"/>
    <n v="87.5"/>
    <n v="0.13400000000000001"/>
    <n v="19250"/>
    <n v="1614.5500000000002"/>
    <n v="9790.9"/>
    <n v="1115.0999999999999"/>
    <n v="16670.5"/>
    <n v="4149.95"/>
    <n v="0.24893974385891243"/>
  </r>
  <r>
    <n v="132"/>
    <s v="FMCG-2025-004486"/>
    <x v="21"/>
    <x v="9"/>
    <s v="South"/>
    <s v="Bengaluru"/>
    <s v="Meera Nair"/>
    <s v="B2B"/>
    <x v="3"/>
    <x v="2"/>
    <x v="4"/>
    <x v="7"/>
    <n v="916"/>
    <n v="84.350000000000009"/>
    <n v="0.1153"/>
    <n v="77264.600000000006"/>
    <n v="4089.4"/>
    <n v="41658.75"/>
    <n v="2853.2"/>
    <n v="68355.991620000015"/>
    <n v="19754.641620000017"/>
    <n v="0.28899648958087942"/>
  </r>
  <r>
    <n v="133"/>
    <s v="FMCG-2025-004494"/>
    <x v="106"/>
    <x v="10"/>
    <s v="South"/>
    <s v="Bengaluru"/>
    <s v="Diya Kapoor"/>
    <s v="B2C"/>
    <x v="1"/>
    <x v="2"/>
    <x v="0"/>
    <x v="12"/>
    <n v="18"/>
    <n v="79.099999999999994"/>
    <n v="4.2800000000000005E-2"/>
    <n v="1423.8"/>
    <n v="187.95000000000002"/>
    <n v="655.19999999999993"/>
    <n v="142.45000000000002"/>
    <n v="1362.8613600000001"/>
    <n v="377.26136000000008"/>
    <n v="0.27681565496874905"/>
  </r>
  <r>
    <n v="134"/>
    <s v="FMCG-2025-004516"/>
    <x v="52"/>
    <x v="10"/>
    <s v="South"/>
    <s v="Bengaluru"/>
    <s v="Meera Nair"/>
    <s v="B2C"/>
    <x v="1"/>
    <x v="2"/>
    <x v="2"/>
    <x v="16"/>
    <n v="14"/>
    <n v="298.54999999999995"/>
    <n v="4.6300000000000001E-2"/>
    <n v="4179.6999999999989"/>
    <n v="545.65"/>
    <n v="2395.4"/>
    <n v="417.2"/>
    <n v="3986.179889999999"/>
    <n v="627.92988999999909"/>
    <n v="0.1575267316899738"/>
  </r>
  <r>
    <n v="135"/>
    <s v="FMCG-2025-004579"/>
    <x v="54"/>
    <x v="4"/>
    <s v="North"/>
    <s v="Delhi"/>
    <s v="Rohan Iyer"/>
    <s v="B2C"/>
    <x v="1"/>
    <x v="2"/>
    <x v="3"/>
    <x v="26"/>
    <n v="17"/>
    <n v="246.4"/>
    <n v="1.8500000000000003E-2"/>
    <n v="4188.8"/>
    <n v="522.20000000000005"/>
    <n v="2941.75"/>
    <n v="457.1"/>
    <n v="4111.3072000000002"/>
    <n v="190.25720000000024"/>
    <n v="4.6276571111008254E-2"/>
  </r>
  <r>
    <n v="136"/>
    <s v="FMCG-2025-004586"/>
    <x v="107"/>
    <x v="11"/>
    <s v="South"/>
    <s v="Bengaluru"/>
    <s v="Nikhil Bhat"/>
    <s v="B2C"/>
    <x v="1"/>
    <x v="3"/>
    <x v="3"/>
    <x v="26"/>
    <n v="55"/>
    <n v="278.25"/>
    <n v="0.1197"/>
    <n v="15303.75"/>
    <n v="6131.3"/>
    <n v="9900.4500000000007"/>
    <n v="1487.15"/>
    <n v="13471.891125"/>
    <n v="-4047.0088750000004"/>
    <n v="-0.30040391786494641"/>
  </r>
  <r>
    <n v="137"/>
    <s v="FMCG-2025-004592"/>
    <x v="49"/>
    <x v="7"/>
    <s v="West"/>
    <s v="Mumbai"/>
    <s v="Meera Nair"/>
    <s v="B2C"/>
    <x v="1"/>
    <x v="0"/>
    <x v="0"/>
    <x v="11"/>
    <n v="18"/>
    <n v="190.4"/>
    <n v="9.6300000000000011E-2"/>
    <n v="3427.2000000000003"/>
    <n v="435.05"/>
    <n v="1848.3500000000001"/>
    <n v="291.55"/>
    <n v="3097.1606400000001"/>
    <n v="522.21063999999978"/>
    <n v="0.16860947838985832"/>
  </r>
  <r>
    <n v="138"/>
    <s v="FMCG-2025-004604"/>
    <x v="108"/>
    <x v="6"/>
    <s v="West"/>
    <s v="Mumbai"/>
    <s v="Rizwan Khan"/>
    <s v="B2B"/>
    <x v="0"/>
    <x v="5"/>
    <x v="2"/>
    <x v="22"/>
    <n v="42"/>
    <n v="121.1"/>
    <n v="0.20480000000000001"/>
    <n v="5086.2"/>
    <n v="633.85"/>
    <n v="2167.2000000000003"/>
    <n v="340.55"/>
    <n v="4044.5462400000001"/>
    <n v="902.94623999999965"/>
    <n v="0.22325031942272952"/>
  </r>
  <r>
    <n v="139"/>
    <s v="FMCG-2025-004621"/>
    <x v="79"/>
    <x v="5"/>
    <s v="North"/>
    <s v="Delhi"/>
    <s v="Farah Siddiqui"/>
    <s v="B2B"/>
    <x v="0"/>
    <x v="3"/>
    <x v="3"/>
    <x v="5"/>
    <n v="195"/>
    <n v="142.1"/>
    <n v="0.14710000000000001"/>
    <n v="27709.5"/>
    <n v="9042.6"/>
    <n v="15107.75"/>
    <n v="1799.35"/>
    <n v="23633.432550000001"/>
    <n v="-2316.2674499999976"/>
    <n v="-9.8008084314438595E-2"/>
  </r>
  <r>
    <n v="140"/>
    <s v="FMCG-2025-004630"/>
    <x v="109"/>
    <x v="8"/>
    <s v="North"/>
    <s v="Delhi"/>
    <s v="Rohan Iyer"/>
    <s v="B2B"/>
    <x v="2"/>
    <x v="2"/>
    <x v="2"/>
    <x v="19"/>
    <n v="437"/>
    <n v="88.2"/>
    <n v="0.1012"/>
    <n v="38543.4"/>
    <n v="2013.55"/>
    <n v="18020.8"/>
    <n v="2226.35"/>
    <n v="34642.807920000007"/>
    <n v="12382.107920000009"/>
    <n v="0.3574221797665415"/>
  </r>
  <r>
    <n v="141"/>
    <s v="FMCG-2025-004663"/>
    <x v="110"/>
    <x v="0"/>
    <s v="North"/>
    <s v="Delhi"/>
    <s v="Rizwan Khan"/>
    <s v="B2C"/>
    <x v="0"/>
    <x v="0"/>
    <x v="3"/>
    <x v="10"/>
    <n v="245"/>
    <n v="122.15"/>
    <n v="0.11939999999999999"/>
    <n v="29926.75"/>
    <n v="2534"/>
    <n v="16027.2"/>
    <n v="1980.65"/>
    <n v="26353.496050000002"/>
    <n v="5811.6460499999994"/>
    <n v="0.22052656842847987"/>
  </r>
  <r>
    <n v="142"/>
    <s v="FMCG-2025-004721"/>
    <x v="59"/>
    <x v="0"/>
    <s v="South"/>
    <s v="Bengaluru"/>
    <s v="Rohan Iyer"/>
    <s v="B2C"/>
    <x v="1"/>
    <x v="6"/>
    <x v="1"/>
    <x v="4"/>
    <n v="90"/>
    <n v="170.45000000000002"/>
    <n v="0.15570000000000001"/>
    <n v="15340.500000000002"/>
    <n v="2671.5499999999997"/>
    <n v="7296.1"/>
    <n v="1276.8"/>
    <n v="12951.984150000002"/>
    <n v="1707.5341500000027"/>
    <n v="0.13183571954880768"/>
  </r>
  <r>
    <n v="143"/>
    <s v="FMCG-2025-004761"/>
    <x v="111"/>
    <x v="3"/>
    <s v="North"/>
    <s v="Delhi"/>
    <s v="Rizwan Khan"/>
    <s v="B2B"/>
    <x v="2"/>
    <x v="4"/>
    <x v="0"/>
    <x v="11"/>
    <n v="251"/>
    <n v="206.14999999999998"/>
    <n v="0.25700000000000001"/>
    <n v="51743.649999999994"/>
    <n v="4748.45"/>
    <n v="21679"/>
    <n v="1899.1"/>
    <n v="38445.531949999997"/>
    <n v="10118.981949999998"/>
    <n v="0.26320306773645769"/>
  </r>
  <r>
    <n v="144"/>
    <s v="FMCG-2025-004771"/>
    <x v="112"/>
    <x v="9"/>
    <s v="South"/>
    <s v="Hyderabad"/>
    <s v="Rohan Iyer"/>
    <s v="B2B"/>
    <x v="0"/>
    <x v="2"/>
    <x v="1"/>
    <x v="17"/>
    <n v="211"/>
    <n v="170.10000000000002"/>
    <n v="0.12390000000000001"/>
    <n v="35891.100000000006"/>
    <n v="2717.0499999999997"/>
    <n v="18935.349999999999"/>
    <n v="2149.7000000000003"/>
    <n v="31444.192710000003"/>
    <n v="7642.0927100000044"/>
    <n v="0.24303669617091606"/>
  </r>
  <r>
    <n v="145"/>
    <s v="FMCG-2025-004785"/>
    <x v="4"/>
    <x v="3"/>
    <s v="North"/>
    <s v="Delhi"/>
    <s v="Diya Kapoor"/>
    <s v="B2C"/>
    <x v="1"/>
    <x v="2"/>
    <x v="3"/>
    <x v="5"/>
    <n v="32"/>
    <n v="158.9"/>
    <n v="2.0099999999999996E-2"/>
    <n v="5084.8"/>
    <n v="596.75"/>
    <n v="3209.15"/>
    <n v="610.04999999999995"/>
    <n v="4982.5955199999999"/>
    <n v="566.64551999999958"/>
    <n v="0.11372496878895752"/>
  </r>
  <r>
    <n v="146"/>
    <s v="FMCG-2025-004841"/>
    <x v="113"/>
    <x v="5"/>
    <s v="West"/>
    <s v="Mumbai"/>
    <s v="Anika Verma"/>
    <s v="B2B"/>
    <x v="0"/>
    <x v="3"/>
    <x v="2"/>
    <x v="19"/>
    <n v="185"/>
    <n v="85.75"/>
    <n v="0.1341"/>
    <n v="15863.75"/>
    <n v="1625.75"/>
    <n v="7644.7"/>
    <n v="1014.65"/>
    <n v="13736.421125000001"/>
    <n v="3451.3211250000013"/>
    <n v="0.25125329906482474"/>
  </r>
  <r>
    <n v="147"/>
    <s v="FMCG-2025-004860"/>
    <x v="114"/>
    <x v="3"/>
    <s v="North"/>
    <s v="Delhi"/>
    <s v="Meera Nair"/>
    <s v="B2C"/>
    <x v="1"/>
    <x v="1"/>
    <x v="4"/>
    <x v="7"/>
    <n v="16"/>
    <n v="90.3"/>
    <n v="8.4199999999999997E-2"/>
    <n v="1444.8"/>
    <n v="218.4"/>
    <n v="835.8"/>
    <n v="132.65"/>
    <n v="1323.1478399999999"/>
    <n v="136.29783999999981"/>
    <n v="0.10301028795089127"/>
  </r>
  <r>
    <n v="148"/>
    <s v="FMCG-2025-004906"/>
    <x v="115"/>
    <x v="5"/>
    <s v="North"/>
    <s v="Delhi"/>
    <s v="Rizwan Khan"/>
    <s v="B2B"/>
    <x v="2"/>
    <x v="1"/>
    <x v="2"/>
    <x v="3"/>
    <n v="443"/>
    <n v="171.85"/>
    <n v="0.17960000000000001"/>
    <n v="76129.55"/>
    <n v="5998.65"/>
    <n v="34273.050000000003"/>
    <n v="4436.95"/>
    <n v="62456.682820000002"/>
    <n v="17748.03282"/>
    <n v="0.28416547307114892"/>
  </r>
  <r>
    <n v="149"/>
    <s v="FMCG-2025-004908"/>
    <x v="116"/>
    <x v="4"/>
    <s v="West"/>
    <s v="Mumbai"/>
    <s v="Aarav Malhotra"/>
    <s v="B2B"/>
    <x v="3"/>
    <x v="2"/>
    <x v="0"/>
    <x v="12"/>
    <n v="664"/>
    <n v="72.8"/>
    <n v="8.9700000000000002E-2"/>
    <n v="48339.199999999997"/>
    <n v="1891.75"/>
    <n v="21136.85"/>
    <n v="1913.8"/>
    <n v="44003.173759999998"/>
    <n v="19060.773759999996"/>
    <n v="0.43316815882327842"/>
  </r>
  <r>
    <n v="150"/>
    <s v="FMCG-2025-004923"/>
    <x v="43"/>
    <x v="6"/>
    <s v="West"/>
    <s v="Mumbai"/>
    <s v="Farah Siddiqui"/>
    <s v="B2B"/>
    <x v="0"/>
    <x v="2"/>
    <x v="3"/>
    <x v="13"/>
    <n v="297"/>
    <n v="119.35000000000001"/>
    <n v="0.14360000000000001"/>
    <n v="35446.950000000004"/>
    <n v="2832.9"/>
    <n v="18922.05"/>
    <n v="2300.1999999999998"/>
    <n v="30356.767980000004"/>
    <n v="6301.6179800000045"/>
    <n v="0.20758527337797322"/>
  </r>
  <r>
    <n v="151"/>
    <s v="FMCG-2025-004931"/>
    <x v="117"/>
    <x v="3"/>
    <s v="West"/>
    <s v="Mumbai"/>
    <s v="Meera Nair"/>
    <s v="B2B"/>
    <x v="3"/>
    <x v="1"/>
    <x v="2"/>
    <x v="19"/>
    <n v="401"/>
    <n v="88.55"/>
    <n v="0.2208"/>
    <n v="35508.549999999996"/>
    <n v="2263.4500000000003"/>
    <n v="15058.75"/>
    <n v="1445.1499999999999"/>
    <n v="27668.262159999998"/>
    <n v="8900.9121599999962"/>
    <n v="0.32170116462421133"/>
  </r>
  <r>
    <n v="152"/>
    <s v="FMCG-2025-004945"/>
    <x v="55"/>
    <x v="8"/>
    <s v="West"/>
    <s v="Mumbai"/>
    <s v="Rizwan Khan"/>
    <s v="B2C"/>
    <x v="0"/>
    <x v="2"/>
    <x v="3"/>
    <x v="13"/>
    <n v="70"/>
    <n v="114.45"/>
    <n v="9.8800000000000013E-2"/>
    <n v="8011.5"/>
    <n v="753.55000000000007"/>
    <n v="4320.75"/>
    <n v="641.20000000000005"/>
    <n v="7219.9638000000004"/>
    <n v="1504.4638000000004"/>
    <n v="0.20837553229837527"/>
  </r>
  <r>
    <n v="153"/>
    <s v="FMCG-2025-004958"/>
    <x v="118"/>
    <x v="6"/>
    <s v="North"/>
    <s v="Delhi"/>
    <s v="Diya Kapoor"/>
    <s v="B2C"/>
    <x v="1"/>
    <x v="3"/>
    <x v="4"/>
    <x v="9"/>
    <n v="101"/>
    <n v="134.4"/>
    <n v="0.1038"/>
    <n v="13574.400000000001"/>
    <n v="2301.25"/>
    <n v="6737.5"/>
    <n v="1231.3"/>
    <n v="12165.377280000001"/>
    <n v="1895.3272800000013"/>
    <n v="0.15579683526263818"/>
  </r>
  <r>
    <n v="154"/>
    <s v="FMCG-2025-005002"/>
    <x v="119"/>
    <x v="3"/>
    <s v="West"/>
    <s v="Mumbai"/>
    <s v="Rizwan Khan"/>
    <s v="B2B"/>
    <x v="2"/>
    <x v="2"/>
    <x v="4"/>
    <x v="27"/>
    <n v="382"/>
    <n v="93.800000000000011"/>
    <n v="0.15570000000000001"/>
    <n v="35831.600000000006"/>
    <n v="2443.35"/>
    <n v="16323.65"/>
    <n v="1502.55"/>
    <n v="30252.619880000006"/>
    <n v="9983.0698800000064"/>
    <n v="0.32999025934278869"/>
  </r>
  <r>
    <n v="155"/>
    <s v="FMCG-2025-005067"/>
    <x v="100"/>
    <x v="2"/>
    <s v="North"/>
    <s v="Delhi"/>
    <s v="Diya Kapoor"/>
    <s v="B2C"/>
    <x v="0"/>
    <x v="2"/>
    <x v="3"/>
    <x v="5"/>
    <n v="126"/>
    <n v="151.20000000000002"/>
    <n v="1.5300000000000001E-2"/>
    <n v="19051.2"/>
    <n v="2197.3000000000002"/>
    <n v="12331.199999999999"/>
    <n v="1366.05"/>
    <n v="18759.716640000002"/>
    <n v="2865.166640000004"/>
    <n v="0.15272973973875564"/>
  </r>
  <r>
    <n v="156"/>
    <s v="FMCG-2025-005069"/>
    <x v="70"/>
    <x v="9"/>
    <s v="South"/>
    <s v="Bengaluru"/>
    <s v="Nikhil Bhat"/>
    <s v="B2C"/>
    <x v="1"/>
    <x v="3"/>
    <x v="4"/>
    <x v="14"/>
    <n v="12"/>
    <n v="109.2"/>
    <n v="8.8499999999999995E-2"/>
    <n v="1310.4000000000001"/>
    <n v="406.34999999999997"/>
    <n v="722.75"/>
    <n v="113.75"/>
    <n v="1194.4296000000002"/>
    <n v="-48.420399999999802"/>
    <n v="-4.0538513111195329E-2"/>
  </r>
  <r>
    <n v="157"/>
    <s v="FMCG-2025-005106"/>
    <x v="120"/>
    <x v="1"/>
    <s v="South"/>
    <s v="Bengaluru"/>
    <s v="Rizwan Khan"/>
    <s v="B2B"/>
    <x v="2"/>
    <x v="6"/>
    <x v="3"/>
    <x v="26"/>
    <n v="599"/>
    <n v="226.1"/>
    <n v="0.25040000000000001"/>
    <n v="135433.9"/>
    <n v="12737.2"/>
    <n v="72122.05"/>
    <n v="7218.0499999999993"/>
    <n v="101521.25144000001"/>
    <n v="9443.9514400000007"/>
    <n v="9.3024379684498504E-2"/>
  </r>
  <r>
    <n v="158"/>
    <s v="FMCG-2025-005128"/>
    <x v="121"/>
    <x v="9"/>
    <s v="North"/>
    <s v="Delhi"/>
    <s v="Diya Kapoor"/>
    <s v="B2C"/>
    <x v="1"/>
    <x v="3"/>
    <x v="1"/>
    <x v="1"/>
    <n v="61"/>
    <n v="89.949999999999989"/>
    <n v="0.1011"/>
    <n v="5486.9499999999989"/>
    <n v="2524.9"/>
    <n v="2367.4"/>
    <n v="469.35"/>
    <n v="4932.2193549999993"/>
    <n v="-429.43064500000128"/>
    <n v="-8.7066412519684319E-2"/>
  </r>
  <r>
    <n v="159"/>
    <s v="FMCG-2025-005174"/>
    <x v="122"/>
    <x v="4"/>
    <s v="North"/>
    <s v="Delhi"/>
    <s v="Anika Verma"/>
    <s v="B2B"/>
    <x v="0"/>
    <x v="2"/>
    <x v="2"/>
    <x v="3"/>
    <n v="140"/>
    <n v="179.89999999999998"/>
    <n v="5.6500000000000002E-2"/>
    <n v="25185.999999999996"/>
    <n v="2364.6"/>
    <n v="14307.650000000001"/>
    <n v="2079.7000000000003"/>
    <n v="23762.990999999998"/>
    <n v="5011.0409999999956"/>
    <n v="0.2108758531280846"/>
  </r>
  <r>
    <n v="160"/>
    <s v="FMCG-2025-005176"/>
    <x v="123"/>
    <x v="6"/>
    <s v="South"/>
    <s v="Hyderabad"/>
    <s v="Diya Kapoor"/>
    <s v="B2B"/>
    <x v="3"/>
    <x v="2"/>
    <x v="4"/>
    <x v="14"/>
    <n v="387"/>
    <n v="89.25"/>
    <n v="9.1700000000000004E-2"/>
    <n v="34539.75"/>
    <n v="1911.35"/>
    <n v="17870.649999999998"/>
    <n v="1403.5"/>
    <n v="31372.454924999998"/>
    <n v="10186.954925"/>
    <n v="0.32471016212640236"/>
  </r>
  <r>
    <n v="161"/>
    <s v="FMCG-2025-005229"/>
    <x v="124"/>
    <x v="6"/>
    <s v="North"/>
    <s v="Delhi"/>
    <s v="Rizwan Khan"/>
    <s v="B2B"/>
    <x v="0"/>
    <x v="2"/>
    <x v="2"/>
    <x v="2"/>
    <n v="227"/>
    <n v="139.30000000000001"/>
    <n v="0.1285"/>
    <n v="31621.100000000002"/>
    <n v="2593.85"/>
    <n v="15033.55"/>
    <n v="2014.95"/>
    <n v="27557.788649999999"/>
    <n v="7915.4386499999982"/>
    <n v="0.28723054489352134"/>
  </r>
  <r>
    <n v="162"/>
    <s v="FMCG-2025-005248"/>
    <x v="125"/>
    <x v="6"/>
    <s v="South"/>
    <s v="Hyderabad"/>
    <s v="Anika Verma"/>
    <s v="B2B"/>
    <x v="3"/>
    <x v="3"/>
    <x v="0"/>
    <x v="0"/>
    <n v="402"/>
    <n v="166.6"/>
    <n v="0.23309999999999997"/>
    <n v="66973.2"/>
    <n v="3969"/>
    <n v="27742.399999999998"/>
    <n v="2216.5499999999997"/>
    <n v="51361.747080000001"/>
    <n v="17433.79708"/>
    <n v="0.33943154333993891"/>
  </r>
  <r>
    <n v="163"/>
    <s v="FMCG-2025-005276"/>
    <x v="126"/>
    <x v="9"/>
    <s v="North"/>
    <s v="Delhi"/>
    <s v="Rohan Iyer"/>
    <s v="B2B"/>
    <x v="0"/>
    <x v="2"/>
    <x v="2"/>
    <x v="22"/>
    <n v="30"/>
    <n v="144.89999999999998"/>
    <n v="0.10920000000000001"/>
    <n v="4346.9999999999991"/>
    <n v="422.8"/>
    <n v="2189.25"/>
    <n v="343.35"/>
    <n v="3872.3075999999992"/>
    <n v="916.90759999999932"/>
    <n v="0.23678583798456496"/>
  </r>
  <r>
    <n v="164"/>
    <s v="FMCG-2025-005278"/>
    <x v="127"/>
    <x v="0"/>
    <s v="South"/>
    <s v="Bengaluru"/>
    <s v="Rohan Iyer"/>
    <s v="B2B"/>
    <x v="0"/>
    <x v="2"/>
    <x v="3"/>
    <x v="24"/>
    <n v="143"/>
    <n v="73.849999999999994"/>
    <n v="9.4299999999999995E-2"/>
    <n v="10560.55"/>
    <n v="1004.85"/>
    <n v="7254.0999999999995"/>
    <n v="756.7"/>
    <n v="9564.6901349999989"/>
    <n v="549.04013499999871"/>
    <n v="5.740281464957242E-2"/>
  </r>
  <r>
    <n v="165"/>
    <s v="FMCG-2025-005291"/>
    <x v="128"/>
    <x v="10"/>
    <s v="South"/>
    <s v="Hyderabad"/>
    <s v="Aarav Malhotra"/>
    <s v="B2B"/>
    <x v="2"/>
    <x v="6"/>
    <x v="4"/>
    <x v="15"/>
    <n v="429"/>
    <n v="66.5"/>
    <n v="0.18710000000000002"/>
    <n v="28528.5"/>
    <n v="6167.35"/>
    <n v="14095.550000000001"/>
    <n v="1145.55"/>
    <n v="23190.817649999997"/>
    <n v="1782.3676499999965"/>
    <n v="7.6856610961278313E-2"/>
  </r>
  <r>
    <n v="166"/>
    <s v="FMCG-2025-005318"/>
    <x v="129"/>
    <x v="9"/>
    <s v="South"/>
    <s v="Bengaluru"/>
    <s v="Rizwan Khan"/>
    <s v="B2C"/>
    <x v="1"/>
    <x v="3"/>
    <x v="2"/>
    <x v="22"/>
    <n v="24"/>
    <n v="147.35"/>
    <n v="0.10220000000000001"/>
    <n v="3536.3999999999996"/>
    <n v="475.65"/>
    <n v="1778"/>
    <n v="309.05"/>
    <n v="3174.9799199999993"/>
    <n v="612.27991999999915"/>
    <n v="0.19284528892390579"/>
  </r>
  <r>
    <n v="167"/>
    <s v="FMCG-2025-005385"/>
    <x v="41"/>
    <x v="11"/>
    <s v="North"/>
    <s v="Delhi"/>
    <s v="Rohan Iyer"/>
    <s v="B2B"/>
    <x v="0"/>
    <x v="6"/>
    <x v="4"/>
    <x v="9"/>
    <n v="47"/>
    <n v="126.35"/>
    <n v="0.19789999999999999"/>
    <n v="5938.45"/>
    <n v="777.35"/>
    <n v="2836.05"/>
    <n v="334.25"/>
    <n v="4763.2307449999998"/>
    <n v="815.58074499999964"/>
    <n v="0.17122427794540943"/>
  </r>
  <r>
    <n v="168"/>
    <s v="FMCG-2025-005406"/>
    <x v="130"/>
    <x v="11"/>
    <s v="South"/>
    <s v="Hyderabad"/>
    <s v="Rizwan Khan"/>
    <s v="B2B"/>
    <x v="3"/>
    <x v="5"/>
    <x v="1"/>
    <x v="25"/>
    <n v="345"/>
    <n v="64.400000000000006"/>
    <n v="0.19940000000000002"/>
    <n v="22218.000000000004"/>
    <n v="1565.2"/>
    <n v="9481.85"/>
    <n v="796.94999999999993"/>
    <n v="17787.730800000001"/>
    <n v="5943.7308000000003"/>
    <n v="0.33414778235793852"/>
  </r>
  <r>
    <n v="169"/>
    <s v="FMCG-2025-005446"/>
    <x v="131"/>
    <x v="0"/>
    <s v="North"/>
    <s v="Delhi"/>
    <s v="Diya Kapoor"/>
    <s v="B2C"/>
    <x v="0"/>
    <x v="0"/>
    <x v="3"/>
    <x v="13"/>
    <n v="167"/>
    <n v="126.35"/>
    <n v="5.8200000000000002E-2"/>
    <n v="21100.45"/>
    <n v="2451.75"/>
    <n v="11047.4"/>
    <n v="1437.8"/>
    <n v="19872.40381"/>
    <n v="4935.4538100000009"/>
    <n v="0.24835716188075996"/>
  </r>
  <r>
    <n v="170"/>
    <s v="FMCG-2025-005467"/>
    <x v="30"/>
    <x v="2"/>
    <s v="South"/>
    <s v="Hyderabad"/>
    <s v="Anika Verma"/>
    <s v="B2C"/>
    <x v="1"/>
    <x v="2"/>
    <x v="3"/>
    <x v="10"/>
    <n v="72"/>
    <n v="110.95"/>
    <n v="1.7100000000000001E-2"/>
    <n v="7988.4000000000005"/>
    <n v="1205.3999999999999"/>
    <n v="4611.9500000000007"/>
    <n v="826"/>
    <n v="7851.7983600000007"/>
    <n v="1208.4483600000001"/>
    <n v="0.15390720757123466"/>
  </r>
  <r>
    <n v="171"/>
    <s v="FMCG-2025-005480"/>
    <x v="132"/>
    <x v="11"/>
    <s v="North"/>
    <s v="Delhi"/>
    <s v="Rizwan Khan"/>
    <s v="B2B"/>
    <x v="0"/>
    <x v="2"/>
    <x v="3"/>
    <x v="5"/>
    <n v="255"/>
    <n v="150.85"/>
    <n v="0.1096"/>
    <n v="38466.75"/>
    <n v="4384.45"/>
    <n v="23079.35"/>
    <n v="2654.75"/>
    <n v="34250.794199999997"/>
    <n v="4132.2441999999983"/>
    <n v="0.12064666809974289"/>
  </r>
  <r>
    <n v="172"/>
    <s v="FMCG-2025-005490"/>
    <x v="99"/>
    <x v="9"/>
    <s v="South"/>
    <s v="Hyderabad"/>
    <s v="Aarav Malhotra"/>
    <s v="B2B"/>
    <x v="3"/>
    <x v="1"/>
    <x v="2"/>
    <x v="18"/>
    <n v="1000"/>
    <n v="158.9"/>
    <n v="0.15179999999999999"/>
    <n v="158900"/>
    <n v="10217.9"/>
    <n v="78742.649999999994"/>
    <n v="7381.5"/>
    <n v="134778.98000000001"/>
    <n v="38436.930000000015"/>
    <n v="0.28518490049412759"/>
  </r>
  <r>
    <n v="173"/>
    <s v="FMCG-2025-005500"/>
    <x v="133"/>
    <x v="1"/>
    <s v="West"/>
    <s v="Mumbai"/>
    <s v="Farah Siddiqui"/>
    <s v="B2B"/>
    <x v="0"/>
    <x v="2"/>
    <x v="2"/>
    <x v="22"/>
    <n v="181"/>
    <n v="142.1"/>
    <n v="0.11509999999999999"/>
    <n v="25720.1"/>
    <n v="2340.4500000000003"/>
    <n v="13370"/>
    <n v="1696.1000000000001"/>
    <n v="22759.716489999999"/>
    <n v="5353.1664899999996"/>
    <n v="0.23520356645707935"/>
  </r>
  <r>
    <n v="174"/>
    <s v="FMCG-2025-005549"/>
    <x v="134"/>
    <x v="4"/>
    <s v="South"/>
    <s v="Bengaluru"/>
    <s v="Anika Verma"/>
    <s v="B2C"/>
    <x v="0"/>
    <x v="2"/>
    <x v="3"/>
    <x v="24"/>
    <n v="170"/>
    <n v="88.55"/>
    <n v="6.480000000000001E-2"/>
    <n v="15053.5"/>
    <n v="1713.95"/>
    <n v="10144.049999999999"/>
    <n v="1161.6499999999999"/>
    <n v="14078.0332"/>
    <n v="1058.3832000000009"/>
    <n v="7.5179763036785627E-2"/>
  </r>
  <r>
    <n v="175"/>
    <s v="FMCG-2025-005550"/>
    <x v="135"/>
    <x v="5"/>
    <s v="West"/>
    <s v="Mumbai"/>
    <s v="Diya Kapoor"/>
    <s v="B2C"/>
    <x v="1"/>
    <x v="0"/>
    <x v="3"/>
    <x v="13"/>
    <n v="149"/>
    <n v="129.85"/>
    <n v="0.1144"/>
    <n v="19347.649999999998"/>
    <n v="2857.0499999999997"/>
    <n v="9563.0500000000011"/>
    <n v="1817.2"/>
    <n v="17134.278839999995"/>
    <n v="2896.9788399999939"/>
    <n v="0.16907503765124873"/>
  </r>
  <r>
    <n v="176"/>
    <s v="FMCG-2025-005580"/>
    <x v="136"/>
    <x v="0"/>
    <s v="North"/>
    <s v="Delhi"/>
    <s v="Diya Kapoor"/>
    <s v="B2B"/>
    <x v="2"/>
    <x v="3"/>
    <x v="4"/>
    <x v="27"/>
    <n v="281"/>
    <n v="100.8"/>
    <n v="0.18350000000000002"/>
    <n v="28324.799999999999"/>
    <n v="2621.5"/>
    <n v="13247.15"/>
    <n v="1157.1000000000001"/>
    <n v="23127.199199999999"/>
    <n v="6101.4492000000009"/>
    <n v="0.26382136233772746"/>
  </r>
  <r>
    <n v="177"/>
    <s v="FMCG-2025-005624"/>
    <x v="11"/>
    <x v="1"/>
    <s v="North"/>
    <s v="Delhi"/>
    <s v="Meera Nair"/>
    <s v="B2C"/>
    <x v="1"/>
    <x v="2"/>
    <x v="1"/>
    <x v="1"/>
    <n v="130"/>
    <n v="86.8"/>
    <n v="5.5E-2"/>
    <n v="11284"/>
    <n v="1211"/>
    <n v="5118.4000000000005"/>
    <n v="1188.25"/>
    <n v="10663.38"/>
    <n v="3145.7299999999987"/>
    <n v="0.29500308532566588"/>
  </r>
  <r>
    <n v="178"/>
    <s v="FMCG-2025-005665"/>
    <x v="137"/>
    <x v="5"/>
    <s v="South"/>
    <s v="Bengaluru"/>
    <s v="Diya Kapoor"/>
    <s v="B2C"/>
    <x v="3"/>
    <x v="2"/>
    <x v="4"/>
    <x v="28"/>
    <n v="112"/>
    <n v="64.75"/>
    <n v="6.9099999999999995E-2"/>
    <n v="7252"/>
    <n v="435.4"/>
    <n v="4079.6"/>
    <n v="278.25"/>
    <n v="6750.8868000000002"/>
    <n v="1957.6368000000002"/>
    <n v="0.28998216945364869"/>
  </r>
  <r>
    <n v="179"/>
    <s v="FMCG-2025-005703"/>
    <x v="138"/>
    <x v="7"/>
    <s v="North"/>
    <s v="Delhi"/>
    <s v="Meera Nair"/>
    <s v="B2C"/>
    <x v="1"/>
    <x v="3"/>
    <x v="3"/>
    <x v="26"/>
    <n v="58"/>
    <n v="253.4"/>
    <n v="5.7099999999999998E-2"/>
    <n v="14697.2"/>
    <n v="2100.35"/>
    <n v="9783.1999999999989"/>
    <n v="1681.75"/>
    <n v="13857.989880000001"/>
    <n v="292.68988000000218"/>
    <n v="2.1120659095184891E-2"/>
  </r>
  <r>
    <n v="180"/>
    <s v="FMCG-2025-005736"/>
    <x v="139"/>
    <x v="8"/>
    <s v="North"/>
    <s v="Delhi"/>
    <s v="Anika Verma"/>
    <s v="B2B"/>
    <x v="3"/>
    <x v="2"/>
    <x v="4"/>
    <x v="9"/>
    <n v="309"/>
    <n v="130.9"/>
    <n v="0.11310000000000001"/>
    <n v="40448.1"/>
    <n v="1793.75"/>
    <n v="22115.100000000002"/>
    <n v="1469.3"/>
    <n v="35873.419889999997"/>
    <n v="10495.269889999992"/>
    <n v="0.29256396301724308"/>
  </r>
  <r>
    <n v="181"/>
    <s v="FMCG-2025-005772"/>
    <x v="32"/>
    <x v="2"/>
    <s v="West"/>
    <s v="Mumbai"/>
    <s v="Meera Nair"/>
    <s v="B2C"/>
    <x v="1"/>
    <x v="3"/>
    <x v="0"/>
    <x v="29"/>
    <n v="64"/>
    <n v="98.699999999999989"/>
    <n v="0.14410000000000001"/>
    <n v="6316.7999999999993"/>
    <n v="740.95"/>
    <n v="2595.25"/>
    <n v="514.85"/>
    <n v="5406.5491199999997"/>
    <n v="1555.4991199999993"/>
    <n v="0.2877064621952421"/>
  </r>
  <r>
    <n v="182"/>
    <s v="FMCG-2025-005792"/>
    <x v="140"/>
    <x v="11"/>
    <s v="West"/>
    <s v="Mumbai"/>
    <s v="Rizwan Khan"/>
    <s v="B2C"/>
    <x v="1"/>
    <x v="2"/>
    <x v="1"/>
    <x v="25"/>
    <n v="81"/>
    <n v="65.45"/>
    <n v="5.8600000000000006E-2"/>
    <n v="5301.45"/>
    <n v="630.69999999999993"/>
    <n v="2568.2999999999997"/>
    <n v="463.40000000000003"/>
    <n v="4990.78503"/>
    <n v="1328.3850300000008"/>
    <n v="0.26616755119985619"/>
  </r>
  <r>
    <n v="183"/>
    <s v="FMCG-2025-005799"/>
    <x v="141"/>
    <x v="8"/>
    <s v="South"/>
    <s v="Hyderabad"/>
    <s v="Farah Siddiqui"/>
    <s v="B2C"/>
    <x v="0"/>
    <x v="0"/>
    <x v="3"/>
    <x v="10"/>
    <n v="225"/>
    <n v="106.4"/>
    <n v="0.1041"/>
    <n v="23940"/>
    <n v="2245.25"/>
    <n v="13632.15"/>
    <n v="1696.45"/>
    <n v="21447.846000000001"/>
    <n v="3873.996000000001"/>
    <n v="0.18062401231340439"/>
  </r>
  <r>
    <n v="184"/>
    <s v="FMCG-2025-005807"/>
    <x v="142"/>
    <x v="11"/>
    <s v="South"/>
    <s v="Hyderabad"/>
    <s v="Rizwan Khan"/>
    <s v="B2B"/>
    <x v="2"/>
    <x v="2"/>
    <x v="2"/>
    <x v="19"/>
    <n v="597"/>
    <n v="87.5"/>
    <n v="0.15529999999999999"/>
    <n v="52237.5"/>
    <n v="2934.75"/>
    <n v="25965.100000000002"/>
    <n v="3230.15"/>
    <n v="44125.016250000001"/>
    <n v="11995.016249999997"/>
    <n v="0.271841627933678"/>
  </r>
  <r>
    <n v="185"/>
    <s v="FMCG-2025-005820"/>
    <x v="143"/>
    <x v="1"/>
    <s v="West"/>
    <s v="Mumbai"/>
    <s v="Aarav Malhotra"/>
    <s v="B2B"/>
    <x v="2"/>
    <x v="6"/>
    <x v="4"/>
    <x v="14"/>
    <n v="316"/>
    <n v="106.05"/>
    <n v="0.2303"/>
    <n v="33511.799999999996"/>
    <n v="3091.9"/>
    <n v="15526.35"/>
    <n v="1455.3"/>
    <n v="25794.032459999999"/>
    <n v="5720.4824599999993"/>
    <n v="0.22177542301193179"/>
  </r>
  <r>
    <n v="186"/>
    <s v="FMCG-2025-005907"/>
    <x v="144"/>
    <x v="4"/>
    <s v="West"/>
    <s v="Mumbai"/>
    <s v="Meera Nair"/>
    <s v="B2C"/>
    <x v="1"/>
    <x v="4"/>
    <x v="2"/>
    <x v="2"/>
    <n v="69"/>
    <n v="153.64999999999998"/>
    <n v="0.16820000000000002"/>
    <n v="10601.849999999999"/>
    <n v="1863.4"/>
    <n v="4238.1500000000005"/>
    <n v="983.85"/>
    <n v="8818.6188299999994"/>
    <n v="1733.2188299999984"/>
    <n v="0.19654084878958292"/>
  </r>
  <r>
    <n v="187"/>
    <s v="FMCG-2025-005923"/>
    <x v="145"/>
    <x v="3"/>
    <s v="South"/>
    <s v="Bengaluru"/>
    <s v="Anika Verma"/>
    <s v="B2B"/>
    <x v="3"/>
    <x v="4"/>
    <x v="1"/>
    <x v="25"/>
    <n v="877"/>
    <n v="56.35"/>
    <n v="0.21530000000000002"/>
    <n v="49418.950000000004"/>
    <n v="3908.1"/>
    <n v="19901"/>
    <n v="1659.7"/>
    <n v="38779.050065000003"/>
    <n v="13310.250065000006"/>
    <n v="0.34323300964541059"/>
  </r>
  <r>
    <n v="188"/>
    <s v="FMCG-2025-005962"/>
    <x v="146"/>
    <x v="8"/>
    <s v="West"/>
    <s v="Mumbai"/>
    <s v="Rizwan Khan"/>
    <s v="B2C"/>
    <x v="1"/>
    <x v="5"/>
    <x v="4"/>
    <x v="27"/>
    <n v="27"/>
    <n v="101.85000000000001"/>
    <n v="0.11560000000000001"/>
    <n v="2749.9500000000003"/>
    <n v="420.34999999999997"/>
    <n v="1466.85"/>
    <n v="220.15"/>
    <n v="2432.0557800000001"/>
    <n v="324.70578000000017"/>
    <n v="0.13351082761761335"/>
  </r>
  <r>
    <n v="189"/>
    <s v="FMCG-2025-005964"/>
    <x v="92"/>
    <x v="3"/>
    <s v="West"/>
    <s v="Mumbai"/>
    <s v="Farah Siddiqui"/>
    <s v="B2C"/>
    <x v="1"/>
    <x v="3"/>
    <x v="0"/>
    <x v="29"/>
    <n v="12"/>
    <n v="89.25"/>
    <n v="7.3399999999999993E-2"/>
    <n v="1071"/>
    <n v="194.25"/>
    <n v="476.34999999999997"/>
    <n v="106.05"/>
    <n v="992.3886"/>
    <n v="215.73860000000008"/>
    <n v="0.21739326711330631"/>
  </r>
  <r>
    <n v="190"/>
    <s v="FMCG-2025-006005"/>
    <x v="2"/>
    <x v="1"/>
    <s v="South"/>
    <s v="Bengaluru"/>
    <s v="Farah Siddiqui"/>
    <s v="B2C"/>
    <x v="2"/>
    <x v="6"/>
    <x v="4"/>
    <x v="27"/>
    <n v="334"/>
    <n v="107.8"/>
    <n v="0.15"/>
    <n v="36005.199999999997"/>
    <n v="8295.35"/>
    <n v="16885.400000000001"/>
    <n v="1886.5"/>
    <n v="30604.42"/>
    <n v="3537.1699999999964"/>
    <n v="0.11557709638019595"/>
  </r>
  <r>
    <n v="191"/>
    <s v="FMCG-2025-006017"/>
    <x v="115"/>
    <x v="5"/>
    <s v="North"/>
    <s v="Delhi"/>
    <s v="Diya Kapoor"/>
    <s v="B2C"/>
    <x v="2"/>
    <x v="1"/>
    <x v="3"/>
    <x v="24"/>
    <n v="106"/>
    <n v="82.25"/>
    <n v="7.6999999999999999E-2"/>
    <n v="8718.5"/>
    <n v="894.95"/>
    <n v="5901.35"/>
    <n v="581"/>
    <n v="8047.1755000000003"/>
    <n v="669.87549999999987"/>
    <n v="8.3243555456197008E-2"/>
  </r>
  <r>
    <n v="192"/>
    <s v="FMCG-2025-006042"/>
    <x v="43"/>
    <x v="6"/>
    <s v="South"/>
    <s v="Hyderabad"/>
    <s v="Rohan Iyer"/>
    <s v="B2B"/>
    <x v="0"/>
    <x v="2"/>
    <x v="2"/>
    <x v="3"/>
    <n v="152"/>
    <n v="151.20000000000002"/>
    <n v="0.10460000000000001"/>
    <n v="22982.400000000001"/>
    <n v="4288.9000000000005"/>
    <n v="12239.15"/>
    <n v="1634.5"/>
    <n v="20578.44096"/>
    <n v="2415.8909599999997"/>
    <n v="0.11739912487520142"/>
  </r>
  <r>
    <n v="193"/>
    <s v="FMCG-2025-006069"/>
    <x v="12"/>
    <x v="8"/>
    <s v="South"/>
    <s v="Bengaluru"/>
    <s v="Aarav Malhotra"/>
    <s v="B2C"/>
    <x v="1"/>
    <x v="4"/>
    <x v="2"/>
    <x v="22"/>
    <n v="70"/>
    <n v="128.80000000000001"/>
    <n v="0.13150000000000001"/>
    <n v="9016"/>
    <n v="1270.8500000000001"/>
    <n v="4683.7"/>
    <n v="955.84999999999991"/>
    <n v="7830.3960000000006"/>
    <n v="919.99600000000032"/>
    <n v="0.11749035425539146"/>
  </r>
  <r>
    <n v="194"/>
    <s v="FMCG-2025-006090"/>
    <x v="92"/>
    <x v="3"/>
    <s v="North"/>
    <s v="Delhi"/>
    <s v="Rohan Iyer"/>
    <s v="B2C"/>
    <x v="1"/>
    <x v="1"/>
    <x v="4"/>
    <x v="28"/>
    <n v="100"/>
    <n v="72.8"/>
    <n v="0.1168"/>
    <n v="7280"/>
    <n v="1096.55"/>
    <n v="3941"/>
    <n v="627.20000000000005"/>
    <n v="6429.6959999999999"/>
    <n v="764.94600000000014"/>
    <n v="0.11897078804347828"/>
  </r>
  <r>
    <n v="195"/>
    <s v="FMCG-2025-006093"/>
    <x v="147"/>
    <x v="2"/>
    <s v="North"/>
    <s v="Delhi"/>
    <s v="Diya Kapoor"/>
    <s v="B2C"/>
    <x v="1"/>
    <x v="5"/>
    <x v="0"/>
    <x v="6"/>
    <n v="40"/>
    <n v="95.9"/>
    <n v="0.13750000000000001"/>
    <n v="3836"/>
    <n v="1176"/>
    <n v="1587.9499999999998"/>
    <n v="289.09999999999997"/>
    <n v="3308.55"/>
    <n v="255.50000000000045"/>
    <n v="7.7224161641806968E-2"/>
  </r>
  <r>
    <n v="196"/>
    <s v="FMCG-2025-006172"/>
    <x v="148"/>
    <x v="2"/>
    <s v="North"/>
    <s v="Delhi"/>
    <s v="Diya Kapoor"/>
    <s v="B2C"/>
    <x v="1"/>
    <x v="3"/>
    <x v="1"/>
    <x v="25"/>
    <n v="103"/>
    <n v="64.75"/>
    <n v="0.1114"/>
    <n v="6669.25"/>
    <n v="1374.45"/>
    <n v="3021.2"/>
    <n v="586.6"/>
    <n v="5926.2955500000007"/>
    <n v="944.0455500000005"/>
    <n v="0.15929775051465336"/>
  </r>
  <r>
    <n v="197"/>
    <s v="FMCG-2025-006189"/>
    <x v="41"/>
    <x v="11"/>
    <s v="North"/>
    <s v="Delhi"/>
    <s v="Anika Verma"/>
    <s v="B2C"/>
    <x v="2"/>
    <x v="6"/>
    <x v="0"/>
    <x v="6"/>
    <n v="129"/>
    <n v="89.25"/>
    <n v="0.18230000000000002"/>
    <n v="11513.25"/>
    <n v="1012.9000000000001"/>
    <n v="4947.95"/>
    <n v="472.84999999999997"/>
    <n v="9414.3845249999995"/>
    <n v="2980.6845249999992"/>
    <n v="0.31660960066850458"/>
  </r>
  <r>
    <n v="198"/>
    <s v="FMCG-2025-006201"/>
    <x v="149"/>
    <x v="8"/>
    <s v="South"/>
    <s v="Hyderabad"/>
    <s v="Nikhil Bhat"/>
    <s v="B2C"/>
    <x v="1"/>
    <x v="1"/>
    <x v="2"/>
    <x v="19"/>
    <n v="66"/>
    <n v="94.85"/>
    <n v="0.12670000000000001"/>
    <n v="6260.0999999999995"/>
    <n v="770.69999999999993"/>
    <n v="2919.7000000000003"/>
    <n v="556.5"/>
    <n v="5466.9453299999996"/>
    <n v="1220.0453299999995"/>
    <n v="0.22316764780964063"/>
  </r>
  <r>
    <n v="199"/>
    <s v="FMCG-2025-006220"/>
    <x v="87"/>
    <x v="0"/>
    <s v="North"/>
    <s v="Delhi"/>
    <s v="Rizwan Khan"/>
    <s v="B2C"/>
    <x v="1"/>
    <x v="1"/>
    <x v="3"/>
    <x v="5"/>
    <n v="16"/>
    <n v="155.04999999999998"/>
    <n v="0.12119999999999999"/>
    <n v="2480.7999999999997"/>
    <n v="428.75"/>
    <n v="1519.35"/>
    <n v="218.05"/>
    <n v="2180.1270399999999"/>
    <n v="13.977039999999988"/>
    <n v="6.4111126294731837E-3"/>
  </r>
  <r>
    <n v="200"/>
    <s v="FMCG-2025-006241"/>
    <x v="19"/>
    <x v="9"/>
    <s v="West"/>
    <s v="Mumbai"/>
    <s v="Rizwan Khan"/>
    <s v="B2C"/>
    <x v="1"/>
    <x v="2"/>
    <x v="4"/>
    <x v="9"/>
    <n v="37"/>
    <n v="133.35"/>
    <n v="5.5099999999999996E-2"/>
    <n v="4933.95"/>
    <n v="778.75"/>
    <n v="2803.85"/>
    <n v="510.65"/>
    <n v="4662.0893550000001"/>
    <n v="568.83935500000052"/>
    <n v="0.12201382506535002"/>
  </r>
  <r>
    <n v="201"/>
    <s v="FMCG-2025-006283"/>
    <x v="104"/>
    <x v="1"/>
    <s v="South"/>
    <s v="Hyderabad"/>
    <s v="Meera Nair"/>
    <s v="B2B"/>
    <x v="3"/>
    <x v="6"/>
    <x v="3"/>
    <x v="24"/>
    <n v="318"/>
    <n v="86.45"/>
    <n v="0.24979999999999999"/>
    <n v="27491.100000000002"/>
    <n v="4435.2"/>
    <n v="14835.8"/>
    <n v="1049.6499999999999"/>
    <n v="20623.823220000002"/>
    <n v="303.17322000000149"/>
    <n v="1.4700146367914875E-2"/>
  </r>
  <r>
    <n v="202"/>
    <s v="FMCG-2025-006320"/>
    <x v="150"/>
    <x v="2"/>
    <s v="South"/>
    <s v="Hyderabad"/>
    <s v="Rohan Iyer"/>
    <s v="B2C"/>
    <x v="1"/>
    <x v="1"/>
    <x v="4"/>
    <x v="27"/>
    <n v="42"/>
    <n v="112"/>
    <n v="0.12990000000000002"/>
    <n v="4704"/>
    <n v="621.6"/>
    <n v="2452.4499999999998"/>
    <n v="442.05"/>
    <n v="4092.9503999999997"/>
    <n v="576.85039999999969"/>
    <n v="0.14093754959747368"/>
  </r>
  <r>
    <n v="203"/>
    <s v="FMCG-2025-006383"/>
    <x v="36"/>
    <x v="6"/>
    <s v="North"/>
    <s v="Delhi"/>
    <s v="Farah Siddiqui"/>
    <s v="B2C"/>
    <x v="0"/>
    <x v="3"/>
    <x v="2"/>
    <x v="18"/>
    <n v="24"/>
    <n v="140.35"/>
    <n v="0.13140000000000002"/>
    <n v="3368.3999999999996"/>
    <n v="334.6"/>
    <n v="1501.15"/>
    <n v="250.6"/>
    <n v="2925.7922399999998"/>
    <n v="839.44223999999974"/>
    <n v="0.28691108976350277"/>
  </r>
  <r>
    <n v="204"/>
    <s v="FMCG-2025-006404"/>
    <x v="130"/>
    <x v="11"/>
    <s v="West"/>
    <s v="Mumbai"/>
    <s v="Rohan Iyer"/>
    <s v="B2C"/>
    <x v="1"/>
    <x v="4"/>
    <x v="0"/>
    <x v="12"/>
    <n v="31"/>
    <n v="80.5"/>
    <n v="0.13800000000000001"/>
    <n v="2495.5"/>
    <n v="393.75"/>
    <n v="1032.5"/>
    <n v="198.1"/>
    <n v="2151.1210000000001"/>
    <n v="526.77100000000019"/>
    <n v="0.24488208706065356"/>
  </r>
  <r>
    <n v="205"/>
    <s v="FMCG-2025-006425"/>
    <x v="151"/>
    <x v="5"/>
    <s v="South"/>
    <s v="Bengaluru"/>
    <s v="Rohan Iyer"/>
    <s v="B2B"/>
    <x v="0"/>
    <x v="4"/>
    <x v="4"/>
    <x v="27"/>
    <n v="122"/>
    <n v="103.6"/>
    <n v="0.1343"/>
    <n v="12639.199999999999"/>
    <n v="4534.6000000000004"/>
    <n v="6344.4500000000007"/>
    <n v="735.35"/>
    <n v="10941.755439999999"/>
    <n v="-672.64456000000246"/>
    <n v="-6.1475013190388263E-2"/>
  </r>
  <r>
    <n v="206"/>
    <s v="FMCG-2025-006440"/>
    <x v="152"/>
    <x v="0"/>
    <s v="West"/>
    <s v="Mumbai"/>
    <s v="Diya Kapoor"/>
    <s v="B2B"/>
    <x v="0"/>
    <x v="2"/>
    <x v="3"/>
    <x v="24"/>
    <n v="80"/>
    <n v="87.85"/>
    <n v="5.7500000000000002E-2"/>
    <n v="7028"/>
    <n v="802.90000000000009"/>
    <n v="4641"/>
    <n v="533.4"/>
    <n v="6623.89"/>
    <n v="646.5900000000006"/>
    <n v="9.7614845657159249E-2"/>
  </r>
  <r>
    <n v="207"/>
    <s v="FMCG-2025-006461"/>
    <x v="96"/>
    <x v="3"/>
    <s v="North"/>
    <s v="Delhi"/>
    <s v="Anika Verma"/>
    <s v="B2C"/>
    <x v="0"/>
    <x v="6"/>
    <x v="3"/>
    <x v="8"/>
    <n v="103"/>
    <n v="77"/>
    <n v="0.21739999999999998"/>
    <n v="7931"/>
    <n v="985.6"/>
    <n v="4280.5"/>
    <n v="493.5"/>
    <n v="6206.8005999999996"/>
    <n v="447.20059999999955"/>
    <n v="7.2050099370036078E-2"/>
  </r>
  <r>
    <n v="208"/>
    <s v="FMCG-2025-006465"/>
    <x v="153"/>
    <x v="9"/>
    <s v="South"/>
    <s v="Bengaluru"/>
    <s v="Nikhil Bhat"/>
    <s v="B2B"/>
    <x v="2"/>
    <x v="3"/>
    <x v="3"/>
    <x v="26"/>
    <n v="368"/>
    <n v="241.14999999999998"/>
    <n v="0.18530000000000002"/>
    <n v="88743.2"/>
    <n v="7128.0999999999995"/>
    <n v="48546.400000000001"/>
    <n v="4852.05"/>
    <n v="72299.085039999991"/>
    <n v="11772.535039999988"/>
    <n v="0.16283103767477483"/>
  </r>
  <r>
    <n v="209"/>
    <s v="FMCG-2025-006470"/>
    <x v="73"/>
    <x v="11"/>
    <s v="West"/>
    <s v="Mumbai"/>
    <s v="Meera Nair"/>
    <s v="B2C"/>
    <x v="1"/>
    <x v="2"/>
    <x v="1"/>
    <x v="17"/>
    <n v="93"/>
    <n v="173.25"/>
    <n v="4.6900000000000004E-2"/>
    <n v="16112.25"/>
    <n v="1747.8999999999999"/>
    <n v="9575.2999999999993"/>
    <n v="1431.5"/>
    <n v="15356.585475"/>
    <n v="2601.885475000001"/>
    <n v="0.1694312501457946"/>
  </r>
  <r>
    <n v="210"/>
    <s v="FMCG-2025-006500"/>
    <x v="154"/>
    <x v="0"/>
    <s v="North"/>
    <s v="Delhi"/>
    <s v="Rohan Iyer"/>
    <s v="B2B"/>
    <x v="2"/>
    <x v="4"/>
    <x v="4"/>
    <x v="9"/>
    <n v="490"/>
    <n v="119.35000000000001"/>
    <n v="0.21359999999999998"/>
    <n v="58481.500000000007"/>
    <n v="6609.4000000000005"/>
    <n v="25132.800000000003"/>
    <n v="2354.4499999999998"/>
    <n v="45989.851600000002"/>
    <n v="11893.2016"/>
    <n v="0.25860491361098453"/>
  </r>
  <r>
    <n v="211"/>
    <s v="FMCG-2025-006504"/>
    <x v="155"/>
    <x v="10"/>
    <s v="West"/>
    <s v="Mumbai"/>
    <s v="Anika Verma"/>
    <s v="B2B"/>
    <x v="2"/>
    <x v="4"/>
    <x v="4"/>
    <x v="28"/>
    <n v="455"/>
    <n v="70"/>
    <n v="0.15279999999999999"/>
    <n v="31850"/>
    <n v="3927.7"/>
    <n v="16493.400000000001"/>
    <n v="1332.1000000000001"/>
    <n v="26983.32"/>
    <n v="5230.12"/>
    <n v="0.19382789071174339"/>
  </r>
  <r>
    <n v="212"/>
    <s v="FMCG-2025-006512"/>
    <x v="156"/>
    <x v="4"/>
    <s v="South"/>
    <s v="Hyderabad"/>
    <s v="Farah Siddiqui"/>
    <s v="B2B"/>
    <x v="3"/>
    <x v="2"/>
    <x v="4"/>
    <x v="14"/>
    <n v="710"/>
    <n v="101.5"/>
    <n v="0.1186"/>
    <n v="72065"/>
    <n v="3571.05"/>
    <n v="39257.050000000003"/>
    <n v="2861.95"/>
    <n v="63518.091"/>
    <n v="17828.041000000001"/>
    <n v="0.28067658708445758"/>
  </r>
  <r>
    <n v="213"/>
    <s v="FMCG-2025-006521"/>
    <x v="83"/>
    <x v="4"/>
    <s v="West"/>
    <s v="Mumbai"/>
    <s v="Rizwan Khan"/>
    <s v="B2B"/>
    <x v="2"/>
    <x v="5"/>
    <x v="2"/>
    <x v="22"/>
    <n v="315"/>
    <n v="121.45"/>
    <n v="0.25730000000000003"/>
    <n v="38256.75"/>
    <n v="3180.1"/>
    <n v="16961.7"/>
    <n v="1688.75"/>
    <n v="28413.288224999997"/>
    <n v="6582.7382249999955"/>
    <n v="0.2316781561103527"/>
  </r>
  <r>
    <n v="214"/>
    <s v="FMCG-2025-006527"/>
    <x v="157"/>
    <x v="8"/>
    <s v="South"/>
    <s v="Bengaluru"/>
    <s v="Aarav Malhotra"/>
    <s v="B2C"/>
    <x v="1"/>
    <x v="2"/>
    <x v="1"/>
    <x v="25"/>
    <n v="77"/>
    <n v="61.6"/>
    <n v="6.4899999999999999E-2"/>
    <n v="4743.2"/>
    <n v="578.19999999999993"/>
    <n v="2344.6499999999996"/>
    <n v="478.45"/>
    <n v="4435.3663200000001"/>
    <n v="1034.0663200000008"/>
    <n v="0.23314113094496347"/>
  </r>
  <r>
    <n v="215"/>
    <s v="FMCG-2025-006569"/>
    <x v="100"/>
    <x v="2"/>
    <s v="North"/>
    <s v="Delhi"/>
    <s v="Rizwan Khan"/>
    <s v="B2C"/>
    <x v="1"/>
    <x v="0"/>
    <x v="4"/>
    <x v="27"/>
    <n v="120"/>
    <n v="98.350000000000009"/>
    <n v="9.8699999999999996E-2"/>
    <n v="11802.000000000002"/>
    <n v="1326.5"/>
    <n v="5885.5999999999995"/>
    <n v="1153.25"/>
    <n v="10637.142600000001"/>
    <n v="2271.7926000000016"/>
    <n v="0.21357169734661649"/>
  </r>
  <r>
    <n v="216"/>
    <s v="FMCG-2025-006580"/>
    <x v="66"/>
    <x v="2"/>
    <s v="South"/>
    <s v="Hyderabad"/>
    <s v="Rohan Iyer"/>
    <s v="B2C"/>
    <x v="0"/>
    <x v="5"/>
    <x v="2"/>
    <x v="16"/>
    <n v="122"/>
    <n v="265.64999999999998"/>
    <n v="0.17420000000000002"/>
    <n v="32409.299999999996"/>
    <n v="4036.2"/>
    <n v="14068.95"/>
    <n v="2078.3000000000002"/>
    <n v="26763.599939999996"/>
    <n v="6580.1499399999966"/>
    <n v="0.24586191524128714"/>
  </r>
  <r>
    <n v="217"/>
    <s v="FMCG-2025-006646"/>
    <x v="100"/>
    <x v="2"/>
    <s v="North"/>
    <s v="Delhi"/>
    <s v="Diya Kapoor"/>
    <s v="B2C"/>
    <x v="1"/>
    <x v="4"/>
    <x v="2"/>
    <x v="18"/>
    <n v="44"/>
    <n v="156.1"/>
    <n v="7.5999999999999998E-2"/>
    <n v="6868.4"/>
    <n v="1255.4499999999998"/>
    <n v="3667.65"/>
    <n v="786.1"/>
    <n v="6346.4016000000001"/>
    <n v="637.20159999999987"/>
    <n v="0.10040360509174204"/>
  </r>
  <r>
    <n v="218"/>
    <s v="FMCG-2025-006656"/>
    <x v="35"/>
    <x v="7"/>
    <s v="South"/>
    <s v="Bengaluru"/>
    <s v="Aarav Malhotra"/>
    <s v="B2C"/>
    <x v="0"/>
    <x v="2"/>
    <x v="1"/>
    <x v="4"/>
    <n v="123"/>
    <n v="167.3"/>
    <n v="6.9400000000000003E-2"/>
    <n v="20577.900000000001"/>
    <n v="1844.8500000000001"/>
    <n v="10084.200000000001"/>
    <n v="1513.05"/>
    <n v="19149.793740000001"/>
    <n v="5707.6937400000006"/>
    <n v="0.29805510270733604"/>
  </r>
  <r>
    <n v="219"/>
    <s v="FMCG-2025-006665"/>
    <x v="158"/>
    <x v="2"/>
    <s v="West"/>
    <s v="Mumbai"/>
    <s v="Rizwan Khan"/>
    <s v="B2B"/>
    <x v="3"/>
    <x v="2"/>
    <x v="2"/>
    <x v="19"/>
    <n v="858"/>
    <n v="87.15"/>
    <n v="0.1993"/>
    <n v="74774.700000000012"/>
    <n v="2498.2999999999997"/>
    <n v="34287.4"/>
    <n v="3669.4"/>
    <n v="59872.10229000001"/>
    <n v="19417.002290000008"/>
    <n v="0.3243080090281561"/>
  </r>
  <r>
    <n v="220"/>
    <s v="FMCG-2025-006743"/>
    <x v="159"/>
    <x v="0"/>
    <s v="North"/>
    <s v="Delhi"/>
    <s v="Diya Kapoor"/>
    <s v="B2B"/>
    <x v="2"/>
    <x v="3"/>
    <x v="3"/>
    <x v="8"/>
    <n v="154"/>
    <n v="78.400000000000006"/>
    <n v="0.1837"/>
    <n v="12073.6"/>
    <n v="887.6"/>
    <n v="7127.05"/>
    <n v="712.25"/>
    <n v="9855.6796800000011"/>
    <n v="1128.779680000001"/>
    <n v="0.11453088134455287"/>
  </r>
  <r>
    <n v="221"/>
    <s v="FMCG-2025-006792"/>
    <x v="160"/>
    <x v="8"/>
    <s v="South"/>
    <s v="Bengaluru"/>
    <s v="Rohan Iyer"/>
    <s v="B2B"/>
    <x v="0"/>
    <x v="5"/>
    <x v="1"/>
    <x v="20"/>
    <n v="122"/>
    <n v="125.3"/>
    <n v="0.20489999999999997"/>
    <n v="15286.6"/>
    <n v="1834"/>
    <n v="6035.4"/>
    <n v="896"/>
    <n v="12154.375660000002"/>
    <n v="3388.9756600000019"/>
    <n v="0.27882762182125953"/>
  </r>
  <r>
    <n v="222"/>
    <s v="FMCG-2025-006813"/>
    <x v="107"/>
    <x v="11"/>
    <s v="West"/>
    <s v="Mumbai"/>
    <s v="Anika Verma"/>
    <s v="B2B"/>
    <x v="2"/>
    <x v="5"/>
    <x v="4"/>
    <x v="15"/>
    <n v="379"/>
    <n v="72.100000000000009"/>
    <n v="0.27429999999999999"/>
    <n v="27325.9"/>
    <n v="6504.4000000000005"/>
    <n v="11299.05"/>
    <n v="989.44999999999993"/>
    <n v="19830.405630000001"/>
    <n v="1037.5056300000006"/>
    <n v="5.2318931309727347E-2"/>
  </r>
  <r>
    <n v="223"/>
    <s v="FMCG-2025-006827"/>
    <x v="161"/>
    <x v="8"/>
    <s v="West"/>
    <s v="Mumbai"/>
    <s v="Farah Siddiqui"/>
    <s v="B2C"/>
    <x v="0"/>
    <x v="2"/>
    <x v="3"/>
    <x v="26"/>
    <n v="41"/>
    <n v="266.7"/>
    <n v="8.77E-2"/>
    <n v="10934.699999999999"/>
    <n v="1109.1500000000001"/>
    <n v="6356"/>
    <n v="747.6"/>
    <n v="9975.7268099999983"/>
    <n v="1762.9768099999978"/>
    <n v="0.1767266529625422"/>
  </r>
  <r>
    <n v="224"/>
    <s v="FMCG-2025-006836"/>
    <x v="64"/>
    <x v="1"/>
    <s v="North"/>
    <s v="Delhi"/>
    <s v="Rohan Iyer"/>
    <s v="B2C"/>
    <x v="1"/>
    <x v="2"/>
    <x v="2"/>
    <x v="19"/>
    <n v="122"/>
    <n v="95.9"/>
    <n v="7.6600000000000001E-2"/>
    <n v="11699.800000000001"/>
    <n v="1396.85"/>
    <n v="6438.25"/>
    <n v="1095.5"/>
    <n v="10803.59532"/>
    <n v="1872.9953200000004"/>
    <n v="0.17336777845914358"/>
  </r>
  <r>
    <n v="225"/>
    <s v="FMCG-2025-006856"/>
    <x v="125"/>
    <x v="6"/>
    <s v="South"/>
    <s v="Hyderabad"/>
    <s v="Nikhil Bhat"/>
    <s v="B2B"/>
    <x v="0"/>
    <x v="0"/>
    <x v="3"/>
    <x v="24"/>
    <n v="123"/>
    <n v="88.55"/>
    <n v="0.121"/>
    <n v="10891.65"/>
    <n v="1107.4000000000001"/>
    <n v="6791.75"/>
    <n v="829.5"/>
    <n v="9573.7603500000005"/>
    <n v="845.11035000000038"/>
    <n v="8.8273606096689092E-2"/>
  </r>
  <r>
    <n v="226"/>
    <s v="FMCG-2025-006921"/>
    <x v="136"/>
    <x v="0"/>
    <s v="South"/>
    <s v="Bengaluru"/>
    <s v="Aarav Malhotra"/>
    <s v="B2C"/>
    <x v="0"/>
    <x v="5"/>
    <x v="3"/>
    <x v="5"/>
    <n v="37"/>
    <n v="156.1"/>
    <n v="9.5199999999999993E-2"/>
    <n v="5775.7"/>
    <n v="852.6"/>
    <n v="3712.7999999999997"/>
    <n v="388.84999999999997"/>
    <n v="5225.8533600000001"/>
    <n v="271.60335999999995"/>
    <n v="5.1973015943945267E-2"/>
  </r>
  <r>
    <n v="227"/>
    <s v="FMCG-2025-006931"/>
    <x v="162"/>
    <x v="11"/>
    <s v="North"/>
    <s v="Delhi"/>
    <s v="Rohan Iyer"/>
    <s v="B2B"/>
    <x v="3"/>
    <x v="6"/>
    <x v="4"/>
    <x v="14"/>
    <n v="479"/>
    <n v="93.800000000000011"/>
    <n v="0.2382"/>
    <n v="44930.200000000004"/>
    <n v="4119.1499999999996"/>
    <n v="19148.150000000001"/>
    <n v="1521.1000000000001"/>
    <n v="34227.826360000006"/>
    <n v="9439.4263600000068"/>
    <n v="0.27578223229013732"/>
  </r>
  <r>
    <n v="228"/>
    <s v="FMCG-2025-006949"/>
    <x v="163"/>
    <x v="11"/>
    <s v="North"/>
    <s v="Delhi"/>
    <s v="Rizwan Khan"/>
    <s v="B2B"/>
    <x v="0"/>
    <x v="1"/>
    <x v="0"/>
    <x v="23"/>
    <n v="101"/>
    <n v="215.25"/>
    <n v="0.1017"/>
    <n v="21740.25"/>
    <n v="2140.6"/>
    <n v="10901.45"/>
    <n v="1401.75"/>
    <n v="19529.266575000001"/>
    <n v="5085.4665750000004"/>
    <n v="0.26040233285104819"/>
  </r>
  <r>
    <n v="229"/>
    <s v="FMCG-2025-007012"/>
    <x v="164"/>
    <x v="7"/>
    <s v="South"/>
    <s v="Hyderabad"/>
    <s v="Anika Verma"/>
    <s v="B2B"/>
    <x v="2"/>
    <x v="3"/>
    <x v="4"/>
    <x v="9"/>
    <n v="188"/>
    <n v="143.5"/>
    <n v="0.15539999999999998"/>
    <n v="26978"/>
    <n v="2723.35"/>
    <n v="12372.85"/>
    <n v="1256.5"/>
    <n v="22785.6188"/>
    <n v="6432.9187999999995"/>
    <n v="0.28232363827661328"/>
  </r>
  <r>
    <n v="230"/>
    <s v="FMCG-2025-007021"/>
    <x v="94"/>
    <x v="10"/>
    <s v="South"/>
    <s v="Bengaluru"/>
    <s v="Rizwan Khan"/>
    <s v="B2C"/>
    <x v="1"/>
    <x v="4"/>
    <x v="0"/>
    <x v="23"/>
    <n v="12"/>
    <n v="206.85"/>
    <n v="9.3000000000000013E-2"/>
    <n v="2482.1999999999998"/>
    <n v="364.7"/>
    <n v="1351.35"/>
    <n v="220.85"/>
    <n v="2251.3553999999999"/>
    <n v="314.45540000000011"/>
    <n v="0.13967381604876783"/>
  </r>
  <r>
    <n v="231"/>
    <s v="FMCG-2025-007043"/>
    <x v="22"/>
    <x v="2"/>
    <s v="North"/>
    <s v="Delhi"/>
    <s v="Farah Siddiqui"/>
    <s v="B2C"/>
    <x v="1"/>
    <x v="3"/>
    <x v="1"/>
    <x v="21"/>
    <n v="8"/>
    <n v="153.64999999999998"/>
    <n v="8.9900000000000008E-2"/>
    <n v="1229.1999999999998"/>
    <n v="174.65"/>
    <n v="603.05000000000007"/>
    <n v="120.75"/>
    <n v="1118.6949199999999"/>
    <n v="220.24491999999984"/>
    <n v="0.19687666052868091"/>
  </r>
  <r>
    <n v="232"/>
    <s v="FMCG-2025-007071"/>
    <x v="165"/>
    <x v="7"/>
    <s v="South"/>
    <s v="Bengaluru"/>
    <s v="Rohan Iyer"/>
    <s v="B2C"/>
    <x v="0"/>
    <x v="6"/>
    <x v="1"/>
    <x v="20"/>
    <n v="132"/>
    <n v="136.15"/>
    <n v="0.1246"/>
    <n v="17971.8"/>
    <n v="2624.6499999999996"/>
    <n v="8214.15"/>
    <n v="1119.3"/>
    <n v="15732.513719999999"/>
    <n v="3774.4137200000005"/>
    <n v="0.23991167509371164"/>
  </r>
  <r>
    <n v="233"/>
    <s v="FMCG-2025-007079"/>
    <x v="99"/>
    <x v="9"/>
    <s v="South"/>
    <s v="Hyderabad"/>
    <s v="Meera Nair"/>
    <s v="B2B"/>
    <x v="3"/>
    <x v="3"/>
    <x v="4"/>
    <x v="27"/>
    <n v="299"/>
    <n v="92.05"/>
    <n v="0.19140000000000001"/>
    <n v="27522.95"/>
    <n v="4630.8500000000004"/>
    <n v="12828.199999999999"/>
    <n v="1054.9000000000001"/>
    <n v="22255.057369999999"/>
    <n v="3741.1073699999979"/>
    <n v="0.1681014480350449"/>
  </r>
  <r>
    <n v="234"/>
    <s v="FMCG-2025-007171"/>
    <x v="148"/>
    <x v="2"/>
    <s v="South"/>
    <s v="Hyderabad"/>
    <s v="Aarav Malhotra"/>
    <s v="B2B"/>
    <x v="0"/>
    <x v="5"/>
    <x v="3"/>
    <x v="13"/>
    <n v="229"/>
    <n v="123.55"/>
    <n v="0.20480000000000001"/>
    <n v="28292.95"/>
    <n v="3247.65"/>
    <n v="12604.9"/>
    <n v="1716.05"/>
    <n v="22498.55384"/>
    <n v="4929.9538400000019"/>
    <n v="0.21912314342778227"/>
  </r>
  <r>
    <n v="235"/>
    <s v="FMCG-2025-007178"/>
    <x v="166"/>
    <x v="5"/>
    <s v="South"/>
    <s v="Hyderabad"/>
    <s v="Farah Siddiqui"/>
    <s v="B2C"/>
    <x v="1"/>
    <x v="1"/>
    <x v="2"/>
    <x v="3"/>
    <n v="38"/>
    <n v="158.19999999999999"/>
    <n v="9.6699999999999994E-2"/>
    <n v="6011.5999999999995"/>
    <n v="845.95"/>
    <n v="3329.9"/>
    <n v="604.44999999999993"/>
    <n v="5430.2782799999995"/>
    <n v="649.97827999999959"/>
    <n v="0.11969520648580824"/>
  </r>
  <r>
    <n v="236"/>
    <s v="FMCG-2025-007210"/>
    <x v="167"/>
    <x v="3"/>
    <s v="North"/>
    <s v="Delhi"/>
    <s v="Aarav Malhotra"/>
    <s v="B2B"/>
    <x v="0"/>
    <x v="3"/>
    <x v="0"/>
    <x v="29"/>
    <n v="178"/>
    <n v="107.10000000000001"/>
    <n v="0.16750000000000001"/>
    <n v="19063.800000000003"/>
    <n v="2077.25"/>
    <n v="7618.0999999999995"/>
    <n v="1088.5"/>
    <n v="15870.613500000003"/>
    <n v="5086.7635000000037"/>
    <n v="0.32051461022600058"/>
  </r>
  <r>
    <n v="237"/>
    <s v="FMCG-2025-007211"/>
    <x v="168"/>
    <x v="1"/>
    <s v="North"/>
    <s v="Delhi"/>
    <s v="Farah Siddiqui"/>
    <s v="B2B"/>
    <x v="0"/>
    <x v="1"/>
    <x v="1"/>
    <x v="17"/>
    <n v="90"/>
    <n v="173.95"/>
    <n v="0.14029999999999998"/>
    <n v="15655.499999999998"/>
    <n v="1533.7"/>
    <n v="7610.05"/>
    <n v="881.3"/>
    <n v="13459.033349999998"/>
    <n v="3433.9833499999986"/>
    <n v="0.25514338665339581"/>
  </r>
  <r>
    <n v="238"/>
    <s v="FMCG-2025-007260"/>
    <x v="169"/>
    <x v="4"/>
    <s v="South"/>
    <s v="Bengaluru"/>
    <s v="Farah Siddiqui"/>
    <s v="B2C"/>
    <x v="2"/>
    <x v="5"/>
    <x v="4"/>
    <x v="14"/>
    <n v="376"/>
    <n v="93.800000000000011"/>
    <n v="0.14380000000000001"/>
    <n v="35268.800000000003"/>
    <n v="3910.55"/>
    <n v="16061.5"/>
    <n v="1811.25"/>
    <n v="30197.146560000001"/>
    <n v="8413.8465600000018"/>
    <n v="0.27863051706829883"/>
  </r>
  <r>
    <n v="239"/>
    <s v="FMCG-2025-007263"/>
    <x v="72"/>
    <x v="0"/>
    <s v="South"/>
    <s v="Hyderabad"/>
    <s v="Nikhil Bhat"/>
    <s v="B2B"/>
    <x v="3"/>
    <x v="1"/>
    <x v="4"/>
    <x v="14"/>
    <n v="715"/>
    <n v="101.15"/>
    <n v="0.14480000000000001"/>
    <n v="72322.25"/>
    <n v="5623.0999999999995"/>
    <n v="38832.5"/>
    <n v="2463.65"/>
    <n v="61849.9882"/>
    <n v="14930.7382"/>
    <n v="0.2414024421754053"/>
  </r>
  <r>
    <n v="240"/>
    <s v="FMCG-2025-007279"/>
    <x v="95"/>
    <x v="3"/>
    <s v="South"/>
    <s v="Hyderabad"/>
    <s v="Anika Verma"/>
    <s v="B2C"/>
    <x v="0"/>
    <x v="1"/>
    <x v="0"/>
    <x v="0"/>
    <n v="172"/>
    <n v="174.3"/>
    <n v="8.6699999999999999E-2"/>
    <n v="29979.600000000002"/>
    <n v="3946.6000000000004"/>
    <n v="16277.8"/>
    <n v="2025.1"/>
    <n v="27380.368680000003"/>
    <n v="5130.868680000005"/>
    <n v="0.18739224222893131"/>
  </r>
  <r>
    <n v="241"/>
    <s v="FMCG-2025-007298"/>
    <x v="57"/>
    <x v="5"/>
    <s v="West"/>
    <s v="Mumbai"/>
    <s v="Nikhil Bhat"/>
    <s v="B2C"/>
    <x v="1"/>
    <x v="3"/>
    <x v="2"/>
    <x v="2"/>
    <n v="9"/>
    <n v="142.1"/>
    <n v="5.7000000000000002E-2"/>
    <n v="1278.8999999999999"/>
    <n v="169.4"/>
    <n v="625.79999999999995"/>
    <n v="138.25"/>
    <n v="1206.0026999999998"/>
    <n v="272.55269999999985"/>
    <n v="0.22599675771870154"/>
  </r>
  <r>
    <n v="242"/>
    <s v="FMCG-2025-007301"/>
    <x v="168"/>
    <x v="1"/>
    <s v="West"/>
    <s v="Mumbai"/>
    <s v="Rizwan Khan"/>
    <s v="B2C"/>
    <x v="0"/>
    <x v="3"/>
    <x v="2"/>
    <x v="3"/>
    <n v="141"/>
    <n v="169.4"/>
    <n v="0.1082"/>
    <n v="23885.4"/>
    <n v="2929.5"/>
    <n v="12918.85"/>
    <n v="1592.5"/>
    <n v="21300.999720000003"/>
    <n v="3860.1497200000031"/>
    <n v="0.18121918082443891"/>
  </r>
  <r>
    <n v="243"/>
    <s v="FMCG-2025-007302"/>
    <x v="93"/>
    <x v="7"/>
    <s v="South"/>
    <s v="Bengaluru"/>
    <s v="Diya Kapoor"/>
    <s v="B2B"/>
    <x v="2"/>
    <x v="2"/>
    <x v="1"/>
    <x v="25"/>
    <n v="112"/>
    <n v="60.199999999999996"/>
    <n v="9.8000000000000004E-2"/>
    <n v="6742.4"/>
    <n v="401.1"/>
    <n v="3412.5"/>
    <n v="312.2"/>
    <n v="6081.6448"/>
    <n v="1955.8448000000003"/>
    <n v="0.32159799927809007"/>
  </r>
  <r>
    <n v="244"/>
    <s v="FMCG-2025-007368"/>
    <x v="117"/>
    <x v="3"/>
    <s v="South"/>
    <s v="Bengaluru"/>
    <s v="Nikhil Bhat"/>
    <s v="B2B"/>
    <x v="2"/>
    <x v="2"/>
    <x v="0"/>
    <x v="12"/>
    <n v="330"/>
    <n v="73.149999999999991"/>
    <n v="0.15310000000000001"/>
    <n v="24139.499999999996"/>
    <n v="1116.1500000000001"/>
    <n v="9812.9500000000007"/>
    <n v="1146.95"/>
    <n v="20443.742549999995"/>
    <n v="8367.6925499999943"/>
    <n v="0.40930336162935077"/>
  </r>
  <r>
    <n v="245"/>
    <s v="FMCG-2025-007424"/>
    <x v="170"/>
    <x v="11"/>
    <s v="South"/>
    <s v="Hyderabad"/>
    <s v="Nikhil Bhat"/>
    <s v="B2B"/>
    <x v="3"/>
    <x v="2"/>
    <x v="1"/>
    <x v="4"/>
    <n v="640"/>
    <n v="165.2"/>
    <n v="0.1807"/>
    <n v="105728"/>
    <n v="2970.7999999999997"/>
    <n v="51419.199999999997"/>
    <n v="4371.5"/>
    <n v="86622.950400000002"/>
    <n v="27861.450400000005"/>
    <n v="0.32164051526002979"/>
  </r>
  <r>
    <n v="246"/>
    <s v="FMCG-2025-007514"/>
    <x v="171"/>
    <x v="5"/>
    <s v="South"/>
    <s v="Bengaluru"/>
    <s v="Rohan Iyer"/>
    <s v="B2B"/>
    <x v="3"/>
    <x v="1"/>
    <x v="4"/>
    <x v="15"/>
    <n v="361"/>
    <n v="64.05"/>
    <n v="0.17399999999999999"/>
    <n v="23122.05"/>
    <n v="1402.45"/>
    <n v="12248.599999999999"/>
    <n v="869.05"/>
    <n v="19098.813300000002"/>
    <n v="4578.713300000004"/>
    <n v="0.23973810456590011"/>
  </r>
  <r>
    <n v="247"/>
    <s v="FMCG-2025-007539"/>
    <x v="172"/>
    <x v="0"/>
    <s v="South"/>
    <s v="Bengaluru"/>
    <s v="Aarav Malhotra"/>
    <s v="B2C"/>
    <x v="1"/>
    <x v="4"/>
    <x v="0"/>
    <x v="12"/>
    <n v="82"/>
    <n v="80.5"/>
    <n v="0.1411"/>
    <n v="6601"/>
    <n v="1282.0500000000002"/>
    <n v="2845.5"/>
    <n v="620.9"/>
    <n v="5669.5989"/>
    <n v="921.14890000000014"/>
    <n v="0.1624716168193133"/>
  </r>
  <r>
    <n v="248"/>
    <s v="FMCG-2025-007561"/>
    <x v="173"/>
    <x v="4"/>
    <s v="South"/>
    <s v="Bengaluru"/>
    <s v="Diya Kapoor"/>
    <s v="B2C"/>
    <x v="1"/>
    <x v="6"/>
    <x v="3"/>
    <x v="8"/>
    <n v="37"/>
    <n v="83.3"/>
    <n v="0.17300000000000001"/>
    <n v="3082.1"/>
    <n v="458.84999999999997"/>
    <n v="1866.9"/>
    <n v="303.45"/>
    <n v="2548.8966999999998"/>
    <n v="-80.303300000000092"/>
    <n v="-3.1505121411942706E-2"/>
  </r>
  <r>
    <n v="249"/>
    <s v="FMCG-2025-007588"/>
    <x v="174"/>
    <x v="9"/>
    <s v="South"/>
    <s v="Hyderabad"/>
    <s v="Aarav Malhotra"/>
    <s v="B2C"/>
    <x v="0"/>
    <x v="4"/>
    <x v="0"/>
    <x v="0"/>
    <n v="146"/>
    <n v="170.10000000000002"/>
    <n v="0.12640000000000001"/>
    <n v="24834.600000000002"/>
    <n v="3818.85"/>
    <n v="11826.85"/>
    <n v="1633.45"/>
    <n v="21695.506560000002"/>
    <n v="4416.3565600000002"/>
    <n v="0.20356088703374345"/>
  </r>
  <r>
    <n v="250"/>
    <s v="FMCG-2025-007589"/>
    <x v="175"/>
    <x v="3"/>
    <s v="South"/>
    <s v="Bengaluru"/>
    <s v="Meera Nair"/>
    <s v="B2C"/>
    <x v="1"/>
    <x v="4"/>
    <x v="4"/>
    <x v="28"/>
    <n v="89"/>
    <n v="68.95"/>
    <n v="0.14019999999999999"/>
    <n v="6136.55"/>
    <n v="981.05000000000007"/>
    <n v="3149.3"/>
    <n v="475.3"/>
    <n v="5276.2056899999998"/>
    <n v="670.55568999999934"/>
    <n v="0.12709051341021532"/>
  </r>
  <r>
    <n v="251"/>
    <s v="FMCG-2025-007608"/>
    <x v="176"/>
    <x v="3"/>
    <s v="North"/>
    <s v="Delhi"/>
    <s v="Rizwan Khan"/>
    <s v="B2B"/>
    <x v="0"/>
    <x v="3"/>
    <x v="3"/>
    <x v="13"/>
    <n v="75"/>
    <n v="129.85"/>
    <n v="0.16350000000000001"/>
    <n v="9738.75"/>
    <n v="1110.8999999999999"/>
    <n v="4913.6499999999996"/>
    <n v="630.35"/>
    <n v="8146.4643750000005"/>
    <n v="1491.5643750000006"/>
    <n v="0.1830934631687996"/>
  </r>
  <r>
    <n v="252"/>
    <s v="FMCG-2025-007646"/>
    <x v="177"/>
    <x v="0"/>
    <s v="West"/>
    <s v="Mumbai"/>
    <s v="Diya Kapoor"/>
    <s v="B2C"/>
    <x v="1"/>
    <x v="2"/>
    <x v="0"/>
    <x v="23"/>
    <n v="12"/>
    <n v="227.85"/>
    <n v="8.5500000000000007E-2"/>
    <n v="2734.2"/>
    <n v="326.2"/>
    <n v="1536.85"/>
    <n v="262.15000000000003"/>
    <n v="2500.4258999999997"/>
    <n v="375.22589999999974"/>
    <n v="0.15006479496153027"/>
  </r>
  <r>
    <n v="253"/>
    <s v="FMCG-2025-007689"/>
    <x v="22"/>
    <x v="2"/>
    <s v="West"/>
    <s v="Mumbai"/>
    <s v="Meera Nair"/>
    <s v="B2C"/>
    <x v="1"/>
    <x v="2"/>
    <x v="1"/>
    <x v="1"/>
    <n v="54"/>
    <n v="84.7"/>
    <n v="1.6299999999999999E-2"/>
    <n v="4573.8"/>
    <n v="653.45000000000005"/>
    <n v="2169.65"/>
    <n v="500.85"/>
    <n v="4499.2470600000006"/>
    <n v="1175.2970600000006"/>
    <n v="0.26122083191404039"/>
  </r>
  <r>
    <n v="254"/>
    <s v="FMCG-2025-007713"/>
    <x v="87"/>
    <x v="0"/>
    <s v="South"/>
    <s v="Bengaluru"/>
    <s v="Anika Verma"/>
    <s v="B2B"/>
    <x v="0"/>
    <x v="1"/>
    <x v="1"/>
    <x v="17"/>
    <n v="236"/>
    <n v="157.15"/>
    <n v="0.19370000000000001"/>
    <n v="37087.4"/>
    <n v="4412.1000000000004"/>
    <n v="18669.699999999997"/>
    <n v="1979.95"/>
    <n v="29903.570620000002"/>
    <n v="4841.8206200000041"/>
    <n v="0.16191446438044138"/>
  </r>
  <r>
    <n v="255"/>
    <s v="FMCG-2025-007749"/>
    <x v="178"/>
    <x v="6"/>
    <s v="North"/>
    <s v="Delhi"/>
    <s v="Nikhil Bhat"/>
    <s v="B2C"/>
    <x v="1"/>
    <x v="3"/>
    <x v="2"/>
    <x v="16"/>
    <n v="113"/>
    <n v="277.55"/>
    <n v="0.1192"/>
    <n v="31363.15"/>
    <n v="4263"/>
    <n v="14745.85"/>
    <n v="3207.75"/>
    <n v="27624.662520000002"/>
    <n v="5408.0625200000013"/>
    <n v="0.19576936066041037"/>
  </r>
  <r>
    <n v="256"/>
    <s v="FMCG-2025-007788"/>
    <x v="121"/>
    <x v="9"/>
    <s v="South"/>
    <s v="Hyderabad"/>
    <s v="Anika Verma"/>
    <s v="B2B"/>
    <x v="2"/>
    <x v="5"/>
    <x v="4"/>
    <x v="14"/>
    <n v="296"/>
    <n v="107.44999999999999"/>
    <n v="0.20989999999999998"/>
    <n v="31805.199999999997"/>
    <n v="2982"/>
    <n v="15458.1"/>
    <n v="1307.5999999999999"/>
    <n v="25129.288519999998"/>
    <n v="5381.5885199999993"/>
    <n v="0.2141560241833699"/>
  </r>
  <r>
    <n v="257"/>
    <s v="FMCG-2025-007806"/>
    <x v="179"/>
    <x v="5"/>
    <s v="South"/>
    <s v="Hyderabad"/>
    <s v="Rizwan Khan"/>
    <s v="B2C"/>
    <x v="0"/>
    <x v="2"/>
    <x v="1"/>
    <x v="1"/>
    <n v="188"/>
    <n v="81.55"/>
    <n v="4.99E-2"/>
    <n v="15331.4"/>
    <n v="1446.9"/>
    <n v="7079.8"/>
    <n v="1101.1000000000001"/>
    <n v="14566.363139999999"/>
    <n v="4938.5631399999984"/>
    <n v="0.33903885908476661"/>
  </r>
  <r>
    <n v="258"/>
    <s v="FMCG-2025-007811"/>
    <x v="81"/>
    <x v="10"/>
    <s v="South"/>
    <s v="Bengaluru"/>
    <s v="Aarav Malhotra"/>
    <s v="B2B"/>
    <x v="3"/>
    <x v="4"/>
    <x v="0"/>
    <x v="12"/>
    <n v="758"/>
    <n v="85.399999999999991"/>
    <n v="0.19039999999999999"/>
    <n v="64733.2"/>
    <n v="4870.25"/>
    <n v="25712.75"/>
    <n v="2146.5499999999997"/>
    <n v="52407.998719999996"/>
    <n v="19678.448719999993"/>
    <n v="0.37548559763054418"/>
  </r>
  <r>
    <n v="259"/>
    <s v="FMCG-2025-007833"/>
    <x v="180"/>
    <x v="6"/>
    <s v="South"/>
    <s v="Bengaluru"/>
    <s v="Meera Nair"/>
    <s v="B2C"/>
    <x v="1"/>
    <x v="0"/>
    <x v="2"/>
    <x v="22"/>
    <n v="94"/>
    <n v="137.9"/>
    <n v="0.12939999999999999"/>
    <n v="12962.6"/>
    <n v="1568.7"/>
    <n v="6091.05"/>
    <n v="1095.1499999999999"/>
    <n v="11285.23956"/>
    <n v="2530.3395600000003"/>
    <n v="0.22421673430563846"/>
  </r>
  <r>
    <n v="260"/>
    <s v="FMCG-2025-007872"/>
    <x v="132"/>
    <x v="11"/>
    <s v="North"/>
    <s v="Delhi"/>
    <s v="Rizwan Khan"/>
    <s v="B2C"/>
    <x v="1"/>
    <x v="2"/>
    <x v="4"/>
    <x v="15"/>
    <n v="39"/>
    <n v="68.95"/>
    <n v="0.03"/>
    <n v="2689.05"/>
    <n v="437.84999999999997"/>
    <n v="1734.25"/>
    <n v="267.39999999999998"/>
    <n v="2608.3785000000003"/>
    <n v="168.8785000000002"/>
    <n v="6.4744629661684525E-2"/>
  </r>
  <r>
    <n v="261"/>
    <s v="FMCG-2025-007882"/>
    <x v="181"/>
    <x v="1"/>
    <s v="North"/>
    <s v="Delhi"/>
    <s v="Rizwan Khan"/>
    <s v="B2B"/>
    <x v="3"/>
    <x v="2"/>
    <x v="0"/>
    <x v="29"/>
    <n v="309"/>
    <n v="85.050000000000011"/>
    <n v="0.1777"/>
    <n v="26280.450000000004"/>
    <n v="989.80000000000007"/>
    <n v="10372.950000000001"/>
    <n v="1013.9499999999999"/>
    <n v="21610.414035000005"/>
    <n v="9233.7140350000045"/>
    <n v="0.42728075547489169"/>
  </r>
  <r>
    <n v="262"/>
    <s v="FMCG-2025-007893"/>
    <x v="66"/>
    <x v="2"/>
    <s v="West"/>
    <s v="Mumbai"/>
    <s v="Rizwan Khan"/>
    <s v="B2C"/>
    <x v="0"/>
    <x v="2"/>
    <x v="3"/>
    <x v="8"/>
    <n v="150"/>
    <n v="80.850000000000009"/>
    <n v="6.83E-2"/>
    <n v="12127.500000000002"/>
    <n v="1030.4000000000001"/>
    <n v="8256.85"/>
    <n v="1005.5500000000001"/>
    <n v="11299.191750000002"/>
    <n v="1006.391750000002"/>
    <n v="8.9067587511292734E-2"/>
  </r>
  <r>
    <n v="263"/>
    <s v="FMCG-2025-007922"/>
    <x v="182"/>
    <x v="8"/>
    <s v="South"/>
    <s v="Bengaluru"/>
    <s v="Rohan Iyer"/>
    <s v="B2B"/>
    <x v="0"/>
    <x v="6"/>
    <x v="1"/>
    <x v="21"/>
    <n v="92"/>
    <n v="147.69999999999999"/>
    <n v="0.18920000000000001"/>
    <n v="13588.4"/>
    <n v="1622.6"/>
    <n v="5694.85"/>
    <n v="812.69999999999993"/>
    <n v="11017.474719999998"/>
    <n v="2887.3247199999973"/>
    <n v="0.26206774178103109"/>
  </r>
  <r>
    <n v="264"/>
    <s v="FMCG-2025-007985"/>
    <x v="183"/>
    <x v="7"/>
    <s v="West"/>
    <s v="Mumbai"/>
    <s v="Anika Verma"/>
    <s v="B2C"/>
    <x v="0"/>
    <x v="2"/>
    <x v="3"/>
    <x v="10"/>
    <n v="207"/>
    <n v="114.1"/>
    <n v="7.22E-2"/>
    <n v="23618.699999999997"/>
    <n v="2399.25"/>
    <n v="13724.2"/>
    <n v="1964.9"/>
    <n v="21913.429859999997"/>
    <n v="3825.0798599999944"/>
    <n v="0.1745541380074947"/>
  </r>
  <r>
    <n v="265"/>
    <s v="FMCG-2025-008011"/>
    <x v="6"/>
    <x v="5"/>
    <s v="South"/>
    <s v="Bengaluru"/>
    <s v="Farah Siddiqui"/>
    <s v="B2C"/>
    <x v="1"/>
    <x v="2"/>
    <x v="2"/>
    <x v="3"/>
    <n v="14"/>
    <n v="179.89999999999998"/>
    <n v="6.2800000000000009E-2"/>
    <n v="2518.5999999999995"/>
    <n v="579.25"/>
    <n v="1464.05"/>
    <n v="289.09999999999997"/>
    <n v="2360.4319199999995"/>
    <n v="28.031919999999673"/>
    <n v="1.1875758738256546E-2"/>
  </r>
  <r>
    <n v="266"/>
    <s v="FMCG-2025-008118"/>
    <x v="25"/>
    <x v="3"/>
    <s v="North"/>
    <s v="Delhi"/>
    <s v="Farah Siddiqui"/>
    <s v="B2C"/>
    <x v="1"/>
    <x v="3"/>
    <x v="1"/>
    <x v="25"/>
    <n v="10"/>
    <n v="64.05"/>
    <n v="6.3E-2"/>
    <n v="640.5"/>
    <n v="91.7"/>
    <n v="298.89999999999998"/>
    <n v="66.849999999999994"/>
    <n v="600.14850000000001"/>
    <n v="142.69850000000002"/>
    <n v="0.23777198476710351"/>
  </r>
  <r>
    <n v="267"/>
    <s v="FMCG-2025-008161"/>
    <x v="184"/>
    <x v="9"/>
    <s v="South"/>
    <s v="Hyderabad"/>
    <s v="Farah Siddiqui"/>
    <s v="B2B"/>
    <x v="2"/>
    <x v="2"/>
    <x v="3"/>
    <x v="13"/>
    <n v="330"/>
    <n v="113.75"/>
    <n v="0.12789999999999999"/>
    <n v="37537.5"/>
    <n v="2121.6999999999998"/>
    <n v="21096.95"/>
    <n v="2271.5"/>
    <n v="32736.453750000001"/>
    <n v="7246.30375"/>
    <n v="0.22135274044458772"/>
  </r>
  <r>
    <n v="268"/>
    <s v="FMCG-2025-008340"/>
    <x v="176"/>
    <x v="3"/>
    <s v="North"/>
    <s v="Delhi"/>
    <s v="Aarav Malhotra"/>
    <s v="B2B"/>
    <x v="3"/>
    <x v="0"/>
    <x v="1"/>
    <x v="1"/>
    <n v="369"/>
    <n v="75.600000000000009"/>
    <n v="0.15179999999999999"/>
    <n v="27896.400000000001"/>
    <n v="1760.8500000000001"/>
    <n v="12618.900000000001"/>
    <n v="1046.5"/>
    <n v="23661.726480000005"/>
    <n v="8235.476480000003"/>
    <n v="0.34805053160262889"/>
  </r>
  <r>
    <n v="269"/>
    <s v="FMCG-2025-008387"/>
    <x v="160"/>
    <x v="8"/>
    <s v="South"/>
    <s v="Hyderabad"/>
    <s v="Rohan Iyer"/>
    <s v="B2C"/>
    <x v="1"/>
    <x v="0"/>
    <x v="4"/>
    <x v="7"/>
    <n v="49"/>
    <n v="96.25"/>
    <n v="7.1900000000000006E-2"/>
    <n v="4716.25"/>
    <n v="705.95"/>
    <n v="2531.1999999999998"/>
    <n v="460.95"/>
    <n v="4377.1516250000004"/>
    <n v="679.05162500000074"/>
    <n v="0.15513550435895643"/>
  </r>
  <r>
    <n v="270"/>
    <s v="FMCG-2025-008413"/>
    <x v="168"/>
    <x v="1"/>
    <s v="West"/>
    <s v="Mumbai"/>
    <s v="Meera Nair"/>
    <s v="B2C"/>
    <x v="0"/>
    <x v="2"/>
    <x v="3"/>
    <x v="24"/>
    <n v="155"/>
    <n v="83.3"/>
    <n v="4.8300000000000003E-2"/>
    <n v="12911.5"/>
    <n v="1186.8499999999999"/>
    <n v="8277.15"/>
    <n v="1055.95"/>
    <n v="12287.87455"/>
    <n v="1767.9245500000002"/>
    <n v="0.14387553704314146"/>
  </r>
  <r>
    <n v="271"/>
    <s v="FMCG-2025-008480"/>
    <x v="185"/>
    <x v="8"/>
    <s v="South"/>
    <s v="Bengaluru"/>
    <s v="Rohan Iyer"/>
    <s v="B2C"/>
    <x v="0"/>
    <x v="1"/>
    <x v="0"/>
    <x v="29"/>
    <n v="213"/>
    <n v="92.75"/>
    <n v="0.1168"/>
    <n v="19755.75"/>
    <n v="1923.95"/>
    <n v="8375.15"/>
    <n v="1200.8500000000001"/>
    <n v="17448.278399999999"/>
    <n v="5948.3283999999994"/>
    <n v="0.34091205238907696"/>
  </r>
  <r>
    <n v="272"/>
    <s v="FMCG-2025-008488"/>
    <x v="186"/>
    <x v="3"/>
    <s v="West"/>
    <s v="Mumbai"/>
    <s v="Nikhil Bhat"/>
    <s v="B2B"/>
    <x v="0"/>
    <x v="2"/>
    <x v="2"/>
    <x v="2"/>
    <n v="137"/>
    <n v="138.6"/>
    <n v="0.11269999999999999"/>
    <n v="18988.2"/>
    <n v="1445.1499999999999"/>
    <n v="8737.75"/>
    <n v="1409.45"/>
    <n v="16848.229859999999"/>
    <n v="5255.8798599999991"/>
    <n v="0.31195442510421684"/>
  </r>
  <r>
    <n v="273"/>
    <s v="FMCG-2025-008491"/>
    <x v="187"/>
    <x v="5"/>
    <s v="West"/>
    <s v="Mumbai"/>
    <s v="Rohan Iyer"/>
    <s v="B2B"/>
    <x v="3"/>
    <x v="1"/>
    <x v="3"/>
    <x v="10"/>
    <n v="620"/>
    <n v="101.5"/>
    <n v="0.25879999999999997"/>
    <n v="62930"/>
    <n v="4331.95"/>
    <n v="26671.05"/>
    <n v="2853.55"/>
    <n v="46643.716000000008"/>
    <n v="12787.166000000005"/>
    <n v="0.27414552476908149"/>
  </r>
  <r>
    <n v="274"/>
    <s v="FMCG-2025-008527"/>
    <x v="188"/>
    <x v="8"/>
    <s v="South"/>
    <s v="Bengaluru"/>
    <s v="Diya Kapoor"/>
    <s v="B2C"/>
    <x v="0"/>
    <x v="1"/>
    <x v="3"/>
    <x v="8"/>
    <n v="151"/>
    <n v="85.75"/>
    <n v="0.10220000000000001"/>
    <n v="12948.25"/>
    <n v="1601.95"/>
    <n v="8604.4"/>
    <n v="899.15000000000009"/>
    <n v="11624.938849999999"/>
    <n v="519.43884999999932"/>
    <n v="4.4683146870918754E-2"/>
  </r>
  <r>
    <n v="275"/>
    <s v="FMCG-2025-008550"/>
    <x v="189"/>
    <x v="10"/>
    <s v="North"/>
    <s v="Delhi"/>
    <s v="Rizwan Khan"/>
    <s v="B2B"/>
    <x v="0"/>
    <x v="1"/>
    <x v="4"/>
    <x v="15"/>
    <n v="122"/>
    <n v="72.449999999999989"/>
    <n v="0.1411"/>
    <n v="8838.8999999999978"/>
    <n v="975.45"/>
    <n v="4782.05"/>
    <n v="600.25"/>
    <n v="7591.7312099999981"/>
    <n v="1233.9812099999979"/>
    <n v="0.16254279503133229"/>
  </r>
  <r>
    <n v="276"/>
    <s v="FMCG-2025-008678"/>
    <x v="24"/>
    <x v="6"/>
    <s v="South"/>
    <s v="Bengaluru"/>
    <s v="Nikhil Bhat"/>
    <s v="B2B"/>
    <x v="0"/>
    <x v="3"/>
    <x v="2"/>
    <x v="16"/>
    <n v="233"/>
    <n v="305.55"/>
    <n v="0.1678"/>
    <n v="71193.150000000009"/>
    <n v="7494.9"/>
    <n v="30413.25"/>
    <n v="4684.05"/>
    <n v="59246.939430000013"/>
    <n v="16654.739430000009"/>
    <n v="0.28110716925179752"/>
  </r>
  <r>
    <n v="277"/>
    <s v="FMCG-2025-008737"/>
    <x v="190"/>
    <x v="4"/>
    <s v="South"/>
    <s v="Bengaluru"/>
    <s v="Nikhil Bhat"/>
    <s v="B2B"/>
    <x v="0"/>
    <x v="2"/>
    <x v="2"/>
    <x v="3"/>
    <n v="279"/>
    <n v="155.4"/>
    <n v="7.0599999999999996E-2"/>
    <n v="43356.6"/>
    <n v="3655.05"/>
    <n v="23485"/>
    <n v="3464.6499999999996"/>
    <n v="40295.624040000002"/>
    <n v="9690.9240400000017"/>
    <n v="0.24049569328868498"/>
  </r>
  <r>
    <n v="278"/>
    <s v="FMCG-2025-008779"/>
    <x v="155"/>
    <x v="10"/>
    <s v="West"/>
    <s v="Mumbai"/>
    <s v="Rohan Iyer"/>
    <s v="B2B"/>
    <x v="2"/>
    <x v="1"/>
    <x v="4"/>
    <x v="14"/>
    <n v="154"/>
    <n v="91.7"/>
    <n v="0.22800000000000001"/>
    <n v="14121.800000000001"/>
    <n v="1103.55"/>
    <n v="6731.55"/>
    <n v="570.84999999999991"/>
    <n v="10902.029600000002"/>
    <n v="2496.0796000000009"/>
    <n v="0.22895549650681563"/>
  </r>
  <r>
    <n v="279"/>
    <s v="FMCG-2025-008781"/>
    <x v="35"/>
    <x v="7"/>
    <s v="South"/>
    <s v="Hyderabad"/>
    <s v="Farah Siddiqui"/>
    <s v="B2B"/>
    <x v="2"/>
    <x v="1"/>
    <x v="2"/>
    <x v="22"/>
    <n v="354"/>
    <n v="130.20000000000002"/>
    <n v="0.1787"/>
    <n v="46090.8"/>
    <n v="3047.45"/>
    <n v="20302.099999999999"/>
    <n v="2633.75"/>
    <n v="37854.374040000002"/>
    <n v="11871.074040000003"/>
    <n v="0.31359847682215175"/>
  </r>
  <r>
    <n v="280"/>
    <s v="FMCG-2025-008845"/>
    <x v="191"/>
    <x v="2"/>
    <s v="North"/>
    <s v="Delhi"/>
    <s v="Farah Siddiqui"/>
    <s v="B2B"/>
    <x v="3"/>
    <x v="6"/>
    <x v="1"/>
    <x v="1"/>
    <n v="740"/>
    <n v="80.5"/>
    <n v="0.26"/>
    <n v="59570"/>
    <n v="4418.75"/>
    <n v="23785.65"/>
    <n v="1867.6"/>
    <n v="44081.8"/>
    <n v="14009.800000000003"/>
    <n v="0.31781370089243183"/>
  </r>
  <r>
    <n v="281"/>
    <s v="FMCG-2025-008944"/>
    <x v="108"/>
    <x v="6"/>
    <s v="South"/>
    <s v="Hyderabad"/>
    <s v="Diya Kapoor"/>
    <s v="B2C"/>
    <x v="1"/>
    <x v="2"/>
    <x v="1"/>
    <x v="1"/>
    <n v="26"/>
    <n v="85.75"/>
    <n v="7.0999999999999995E-3"/>
    <n v="2229.5"/>
    <n v="295.75"/>
    <n v="1062.5999999999999"/>
    <n v="236.95"/>
    <n v="2213.6705499999998"/>
    <n v="618.37054999999987"/>
    <n v="0.27934172499155302"/>
  </r>
  <r>
    <n v="282"/>
    <s v="FMCG-2025-008951"/>
    <x v="192"/>
    <x v="6"/>
    <s v="West"/>
    <s v="Mumbai"/>
    <s v="Diya Kapoor"/>
    <s v="B2B"/>
    <x v="2"/>
    <x v="3"/>
    <x v="1"/>
    <x v="20"/>
    <n v="522"/>
    <n v="126.35"/>
    <n v="0.2114"/>
    <n v="65954.7"/>
    <n v="5609.4500000000007"/>
    <n v="29480.5"/>
    <n v="2906.05"/>
    <n v="52011.876419999993"/>
    <n v="14015.87641999999"/>
    <n v="0.26947453898453277"/>
  </r>
  <r>
    <n v="283"/>
    <s v="FMCG-2025-008992"/>
    <x v="193"/>
    <x v="9"/>
    <s v="West"/>
    <s v="Mumbai"/>
    <s v="Rizwan Khan"/>
    <s v="B2B"/>
    <x v="2"/>
    <x v="2"/>
    <x v="4"/>
    <x v="9"/>
    <n v="489"/>
    <n v="149.1"/>
    <n v="9.7599999999999992E-2"/>
    <n v="72909.899999999994"/>
    <n v="4774.7"/>
    <n v="37963.800000000003"/>
    <n v="3785.25"/>
    <n v="65793.893759999992"/>
    <n v="19270.143759999988"/>
    <n v="0.29288650752747286"/>
  </r>
  <r>
    <n v="284"/>
    <s v="FMCG-2025-009072"/>
    <x v="194"/>
    <x v="11"/>
    <s v="South"/>
    <s v="Hyderabad"/>
    <s v="Rizwan Khan"/>
    <s v="B2C"/>
    <x v="1"/>
    <x v="2"/>
    <x v="0"/>
    <x v="29"/>
    <n v="44"/>
    <n v="104.3"/>
    <n v="1.1599999999999999E-2"/>
    <n v="4589.2"/>
    <n v="589.75"/>
    <n v="2177.35"/>
    <n v="413"/>
    <n v="4535.9652799999994"/>
    <n v="1355.8652799999995"/>
    <n v="0.29891438675209608"/>
  </r>
  <r>
    <n v="285"/>
    <s v="FMCG-2025-009077"/>
    <x v="195"/>
    <x v="8"/>
    <s v="West"/>
    <s v="Mumbai"/>
    <s v="Nikhil Bhat"/>
    <s v="B2B"/>
    <x v="0"/>
    <x v="2"/>
    <x v="2"/>
    <x v="16"/>
    <n v="198"/>
    <n v="282.45"/>
    <n v="0.1032"/>
    <n v="55925.1"/>
    <n v="5038.6000000000004"/>
    <n v="26191.550000000003"/>
    <n v="4547.8999999999996"/>
    <n v="50153.629679999998"/>
    <n v="14375.579679999993"/>
    <n v="0.2866308933515257"/>
  </r>
  <r>
    <n v="286"/>
    <s v="FMCG-2025-009121"/>
    <x v="196"/>
    <x v="11"/>
    <s v="South"/>
    <s v="Hyderabad"/>
    <s v="Rizwan Khan"/>
    <s v="B2B"/>
    <x v="0"/>
    <x v="6"/>
    <x v="0"/>
    <x v="6"/>
    <n v="168"/>
    <n v="87.85"/>
    <n v="0.2369"/>
    <n v="14758.8"/>
    <n v="1969.8"/>
    <n v="5813.85"/>
    <n v="713.65"/>
    <n v="11262.440279999999"/>
    <n v="2765.1402799999987"/>
    <n v="0.2455187518206311"/>
  </r>
  <r>
    <n v="287"/>
    <s v="FMCG-2025-009210"/>
    <x v="197"/>
    <x v="10"/>
    <s v="West"/>
    <s v="Mumbai"/>
    <s v="Aarav Malhotra"/>
    <s v="B2C"/>
    <x v="1"/>
    <x v="4"/>
    <x v="1"/>
    <x v="20"/>
    <n v="113"/>
    <n v="140.35"/>
    <n v="0.1023"/>
    <n v="15859.55"/>
    <n v="2663.85"/>
    <n v="7775.95"/>
    <n v="1474.9"/>
    <n v="14237.118034999998"/>
    <n v="2322.4180349999983"/>
    <n v="0.16312416805779462"/>
  </r>
  <r>
    <n v="288"/>
    <s v="FMCG-2025-009248"/>
    <x v="198"/>
    <x v="0"/>
    <s v="South"/>
    <s v="Hyderabad"/>
    <s v="Meera Nair"/>
    <s v="B2B"/>
    <x v="3"/>
    <x v="5"/>
    <x v="1"/>
    <x v="1"/>
    <n v="642"/>
    <n v="82.25"/>
    <n v="0.27690000000000003"/>
    <n v="52804.5"/>
    <n v="3904.6"/>
    <n v="20897.800000000003"/>
    <n v="1692.6"/>
    <n v="38182.933949999999"/>
    <n v="11687.933949999997"/>
    <n v="0.30610361072056896"/>
  </r>
  <r>
    <n v="289"/>
    <s v="FMCG-2025-009335"/>
    <x v="2"/>
    <x v="1"/>
    <s v="North"/>
    <s v="Delhi"/>
    <s v="Aarav Malhotra"/>
    <s v="B2B"/>
    <x v="2"/>
    <x v="3"/>
    <x v="2"/>
    <x v="18"/>
    <n v="182"/>
    <n v="160.65"/>
    <n v="0.20219999999999999"/>
    <n v="29238.3"/>
    <n v="2319.4499999999998"/>
    <n v="11781.35"/>
    <n v="1515.8500000000001"/>
    <n v="23326.315740000002"/>
    <n v="7709.6657400000031"/>
    <n v="0.33051364930208232"/>
  </r>
  <r>
    <n v="290"/>
    <s v="FMCG-2025-009429"/>
    <x v="172"/>
    <x v="0"/>
    <s v="South"/>
    <s v="Bengaluru"/>
    <s v="Farah Siddiqui"/>
    <s v="B2B"/>
    <x v="2"/>
    <x v="1"/>
    <x v="0"/>
    <x v="0"/>
    <n v="511"/>
    <n v="155.75"/>
    <n v="0.20010000000000003"/>
    <n v="79588.25"/>
    <n v="5322.8"/>
    <n v="35146.299999999996"/>
    <n v="3512.25"/>
    <n v="63662.641174999997"/>
    <n v="19681.291175000002"/>
    <n v="0.30914977468337818"/>
  </r>
  <r>
    <n v="291"/>
    <s v="FMCG-2025-009509"/>
    <x v="69"/>
    <x v="0"/>
    <s v="South"/>
    <s v="Bengaluru"/>
    <s v="Rohan Iyer"/>
    <s v="B2C"/>
    <x v="0"/>
    <x v="2"/>
    <x v="3"/>
    <x v="8"/>
    <n v="46"/>
    <n v="81.55"/>
    <n v="7.6600000000000001E-2"/>
    <n v="3751.2999999999997"/>
    <n v="376.59999999999997"/>
    <n v="2467.8500000000004"/>
    <n v="306.59999999999997"/>
    <n v="3463.9504199999997"/>
    <n v="312.90041999999943"/>
    <n v="9.0330513448861505E-2"/>
  </r>
  <r>
    <n v="292"/>
    <s v="FMCG-2025-009537"/>
    <x v="51"/>
    <x v="9"/>
    <s v="West"/>
    <s v="Mumbai"/>
    <s v="Aarav Malhotra"/>
    <s v="B2C"/>
    <x v="2"/>
    <x v="1"/>
    <x v="3"/>
    <x v="5"/>
    <n v="454"/>
    <n v="135.79999999999998"/>
    <n v="0.18390000000000001"/>
    <n v="61653.19999999999"/>
    <n v="5288.1500000000005"/>
    <n v="35847.35"/>
    <n v="3329.2000000000003"/>
    <n v="50315.176519999994"/>
    <n v="5850.4765199999974"/>
    <n v="0.11627657745917808"/>
  </r>
  <r>
    <n v="293"/>
    <s v="FMCG-2025-009548"/>
    <x v="199"/>
    <x v="7"/>
    <s v="North"/>
    <s v="Delhi"/>
    <s v="Nikhil Bhat"/>
    <s v="B2C"/>
    <x v="0"/>
    <x v="2"/>
    <x v="3"/>
    <x v="5"/>
    <n v="81"/>
    <n v="155.75"/>
    <n v="3.7000000000000005E-2"/>
    <n v="12615.75"/>
    <n v="3944.5"/>
    <n v="8076.9500000000007"/>
    <n v="1030.75"/>
    <n v="12148.96725"/>
    <n v="-903.23275000000103"/>
    <n v="-7.4346463482317895E-2"/>
  </r>
  <r>
    <n v="294"/>
    <s v="FMCG-2025-009590"/>
    <x v="200"/>
    <x v="11"/>
    <s v="South"/>
    <s v="Hyderabad"/>
    <s v="Diya Kapoor"/>
    <s v="B2C"/>
    <x v="1"/>
    <x v="5"/>
    <x v="0"/>
    <x v="23"/>
    <n v="12"/>
    <n v="227.5"/>
    <n v="0.16879999999999998"/>
    <n v="2730"/>
    <n v="409.85"/>
    <n v="1246.3499999999999"/>
    <n v="230.65"/>
    <n v="2269.1759999999999"/>
    <n v="382.32599999999991"/>
    <n v="0.16848671059450651"/>
  </r>
  <r>
    <n v="295"/>
    <s v="FMCG-2025-009692"/>
    <x v="201"/>
    <x v="1"/>
    <s v="North"/>
    <s v="Delhi"/>
    <s v="Rizwan Khan"/>
    <s v="B2B"/>
    <x v="0"/>
    <x v="5"/>
    <x v="1"/>
    <x v="1"/>
    <n v="158"/>
    <n v="84.7"/>
    <n v="0.19089999999999999"/>
    <n v="13382.6"/>
    <n v="1469.3"/>
    <n v="5692.05"/>
    <n v="780.84999999999991"/>
    <n v="10827.86166"/>
    <n v="2885.6616599999998"/>
    <n v="0.2665033734832552"/>
  </r>
  <r>
    <n v="296"/>
    <s v="FMCG-2025-009702"/>
    <x v="202"/>
    <x v="2"/>
    <s v="South"/>
    <s v="Bengaluru"/>
    <s v="Meera Nair"/>
    <s v="B2B"/>
    <x v="2"/>
    <x v="2"/>
    <x v="2"/>
    <x v="2"/>
    <n v="268"/>
    <n v="132.65"/>
    <n v="0.12609999999999999"/>
    <n v="35550.200000000004"/>
    <n v="1451.8"/>
    <n v="14912.449999999999"/>
    <n v="2150.0500000000002"/>
    <n v="31067.319780000005"/>
    <n v="12553.019780000008"/>
    <n v="0.40405866579070587"/>
  </r>
  <r>
    <n v="297"/>
    <s v="FMCG-2025-009715"/>
    <x v="203"/>
    <x v="1"/>
    <s v="South"/>
    <s v="Bengaluru"/>
    <s v="Rizwan Khan"/>
    <s v="B2C"/>
    <x v="0"/>
    <x v="5"/>
    <x v="3"/>
    <x v="24"/>
    <n v="175"/>
    <n v="80.850000000000009"/>
    <n v="0.1249"/>
    <n v="14148.750000000002"/>
    <n v="1809.1499999999999"/>
    <n v="8665.3000000000011"/>
    <n v="1009.4"/>
    <n v="12381.571125000002"/>
    <n v="897.72112500000162"/>
    <n v="7.2504621258233204E-2"/>
  </r>
  <r>
    <n v="298"/>
    <s v="FMCG-2025-009732"/>
    <x v="20"/>
    <x v="2"/>
    <s v="South"/>
    <s v="Hyderabad"/>
    <s v="Aarav Malhotra"/>
    <s v="B2B"/>
    <x v="3"/>
    <x v="4"/>
    <x v="0"/>
    <x v="29"/>
    <n v="241"/>
    <n v="94.149999999999991"/>
    <n v="0.25109999999999999"/>
    <n v="22690.149999999998"/>
    <n v="1905.75"/>
    <n v="8156.4"/>
    <n v="829.15000000000009"/>
    <n v="16992.653334999999"/>
    <n v="6101.3533349999998"/>
    <n v="0.35905830682916123"/>
  </r>
  <r>
    <n v="299"/>
    <s v="FMCG-2025-009733"/>
    <x v="199"/>
    <x v="7"/>
    <s v="West"/>
    <s v="Mumbai"/>
    <s v="Meera Nair"/>
    <s v="B2B"/>
    <x v="3"/>
    <x v="2"/>
    <x v="4"/>
    <x v="14"/>
    <n v="465"/>
    <n v="93.45"/>
    <n v="0.1643"/>
    <n v="43454.25"/>
    <n v="1806.6999999999998"/>
    <n v="22109.15"/>
    <n v="1557.5"/>
    <n v="36314.716724999998"/>
    <n v="10841.366724999996"/>
    <n v="0.29853920676562834"/>
  </r>
  <r>
    <n v="300"/>
    <s v="FMCG-2025-009735"/>
    <x v="204"/>
    <x v="0"/>
    <s v="West"/>
    <s v="Mumbai"/>
    <s v="Rizwan Khan"/>
    <s v="B2B"/>
    <x v="2"/>
    <x v="2"/>
    <x v="3"/>
    <x v="13"/>
    <n v="181"/>
    <n v="113.05"/>
    <n v="0.10920000000000001"/>
    <n v="20462.05"/>
    <n v="1136.45"/>
    <n v="10613.4"/>
    <n v="1303.05"/>
    <n v="18227.594140000001"/>
    <n v="5174.6941400000023"/>
    <n v="0.28389342555330793"/>
  </r>
  <r>
    <n v="301"/>
    <s v="FMCG-2025-009736"/>
    <x v="45"/>
    <x v="1"/>
    <s v="South"/>
    <s v="Hyderabad"/>
    <s v="Rizwan Khan"/>
    <s v="B2B"/>
    <x v="0"/>
    <x v="4"/>
    <x v="1"/>
    <x v="1"/>
    <n v="183"/>
    <n v="73.149999999999991"/>
    <n v="0.1502"/>
    <n v="13386.449999999999"/>
    <n v="3747.45"/>
    <n v="5776.75"/>
    <n v="776.65000000000009"/>
    <n v="11375.805209999999"/>
    <n v="1074.9552099999992"/>
    <n v="9.4494867849446884E-2"/>
  </r>
  <r>
    <n v="302"/>
    <s v="FMCG-2025-009760"/>
    <x v="46"/>
    <x v="10"/>
    <s v="West"/>
    <s v="Mumbai"/>
    <s v="Nikhil Bhat"/>
    <s v="B2B"/>
    <x v="0"/>
    <x v="4"/>
    <x v="4"/>
    <x v="7"/>
    <n v="185"/>
    <n v="91"/>
    <n v="0.1852"/>
    <n v="16835"/>
    <n v="2485.3500000000004"/>
    <n v="8669.5"/>
    <n v="972.65"/>
    <n v="13717.157999999999"/>
    <n v="1589.6579999999994"/>
    <n v="0.11588829114602307"/>
  </r>
  <r>
    <n v="303"/>
    <s v="FMCG-2025-009832"/>
    <x v="205"/>
    <x v="10"/>
    <s v="North"/>
    <s v="Delhi"/>
    <s v="Meera Nair"/>
    <s v="B2C"/>
    <x v="1"/>
    <x v="0"/>
    <x v="3"/>
    <x v="10"/>
    <n v="97"/>
    <n v="123.55"/>
    <n v="0.12429999999999999"/>
    <n v="11984.35"/>
    <n v="1464.75"/>
    <n v="6527.8499999999995"/>
    <n v="1158.5"/>
    <n v="10494.695295000001"/>
    <n v="1343.5952950000019"/>
    <n v="0.12802613675121491"/>
  </r>
  <r>
    <n v="304"/>
    <s v="FMCG-2025-009844"/>
    <x v="206"/>
    <x v="3"/>
    <s v="South"/>
    <s v="Bengaluru"/>
    <s v="Diya Kapoor"/>
    <s v="B2C"/>
    <x v="1"/>
    <x v="3"/>
    <x v="2"/>
    <x v="22"/>
    <n v="33"/>
    <n v="135.1"/>
    <n v="0.12710000000000002"/>
    <n v="4458.3"/>
    <n v="611.1"/>
    <n v="2114.7000000000003"/>
    <n v="464.09999999999997"/>
    <n v="3891.6500700000001"/>
    <n v="701.75006999999994"/>
    <n v="0.18032198614404196"/>
  </r>
  <r>
    <n v="305"/>
    <s v="FMCG-2025-009883"/>
    <x v="63"/>
    <x v="1"/>
    <s v="West"/>
    <s v="Mumbai"/>
    <s v="Anika Verma"/>
    <s v="B2B"/>
    <x v="0"/>
    <x v="6"/>
    <x v="3"/>
    <x v="24"/>
    <n v="70"/>
    <n v="89.600000000000009"/>
    <n v="0.18049999999999999"/>
    <n v="6272.0000000000009"/>
    <n v="1002.05"/>
    <n v="3894.8"/>
    <n v="381.5"/>
    <n v="5139.9040000000005"/>
    <n v="-138.44599999999969"/>
    <n v="-2.693552253116005E-2"/>
  </r>
  <r>
    <n v="306"/>
    <s v="FMCG-2025-009976"/>
    <x v="75"/>
    <x v="4"/>
    <s v="South"/>
    <s v="Hyderabad"/>
    <s v="Farah Siddiqui"/>
    <s v="B2C"/>
    <x v="0"/>
    <x v="5"/>
    <x v="3"/>
    <x v="8"/>
    <n v="70"/>
    <n v="84.350000000000009"/>
    <n v="0.14400000000000002"/>
    <n v="5904.5000000000009"/>
    <n v="889.7"/>
    <n v="3739.0499999999997"/>
    <n v="378"/>
    <n v="5054.2520000000004"/>
    <n v="47.502000000000635"/>
    <n v="9.3984233473124474E-3"/>
  </r>
  <r>
    <n v="307"/>
    <s v="FMCG-2025-009977"/>
    <x v="18"/>
    <x v="7"/>
    <s v="South"/>
    <s v="Bengaluru"/>
    <s v="Nikhil Bhat"/>
    <s v="B2B"/>
    <x v="2"/>
    <x v="1"/>
    <x v="0"/>
    <x v="12"/>
    <n v="331"/>
    <n v="79.8"/>
    <n v="0.1661"/>
    <n v="26413.8"/>
    <n v="2256.8000000000002"/>
    <n v="10572.8"/>
    <n v="1193.8499999999999"/>
    <n v="22026.467819999998"/>
    <n v="8003.01782"/>
    <n v="0.3633364135094449"/>
  </r>
  <r>
    <n v="308"/>
    <s v="FMCG-2025-010010"/>
    <x v="39"/>
    <x v="11"/>
    <s v="West"/>
    <s v="Mumbai"/>
    <s v="Nikhil Bhat"/>
    <s v="B2B"/>
    <x v="2"/>
    <x v="1"/>
    <x v="0"/>
    <x v="0"/>
    <n v="314"/>
    <n v="167.65"/>
    <n v="0.20480000000000001"/>
    <n v="52642.1"/>
    <n v="3601.85"/>
    <n v="23464.699999999997"/>
    <n v="2079.35"/>
    <n v="41860.997920000002"/>
    <n v="12715.097920000006"/>
    <n v="0.30374569532001272"/>
  </r>
  <r>
    <n v="309"/>
    <s v="FMCG-2025-010027"/>
    <x v="207"/>
    <x v="4"/>
    <s v="South"/>
    <s v="Bengaluru"/>
    <s v="Meera Nair"/>
    <s v="B2C"/>
    <x v="1"/>
    <x v="0"/>
    <x v="3"/>
    <x v="10"/>
    <n v="8"/>
    <n v="105.7"/>
    <n v="5.9699999999999996E-2"/>
    <n v="845.6"/>
    <n v="101.85000000000001"/>
    <n v="445.90000000000003"/>
    <n v="93.800000000000011"/>
    <n v="795.11768000000006"/>
    <n v="153.56768000000005"/>
    <n v="0.19313830375398022"/>
  </r>
  <r>
    <n v="310"/>
    <s v="FMCG-2025-010060"/>
    <x v="208"/>
    <x v="1"/>
    <s v="North"/>
    <s v="Delhi"/>
    <s v="Farah Siddiqui"/>
    <s v="B2C"/>
    <x v="1"/>
    <x v="4"/>
    <x v="3"/>
    <x v="8"/>
    <n v="80"/>
    <n v="91.35"/>
    <n v="0.13089999999999999"/>
    <n v="7308"/>
    <n v="2964.15"/>
    <n v="4754.05"/>
    <n v="658.34999999999991"/>
    <n v="6351.3828000000003"/>
    <n v="-2025.1671999999994"/>
    <n v="-0.31885453353559468"/>
  </r>
  <r>
    <n v="311"/>
    <s v="FMCG-2025-010136"/>
    <x v="209"/>
    <x v="6"/>
    <s v="South"/>
    <s v="Hyderabad"/>
    <s v="Diya Kapoor"/>
    <s v="B2B"/>
    <x v="3"/>
    <x v="3"/>
    <x v="0"/>
    <x v="0"/>
    <n v="358"/>
    <n v="154.69999999999999"/>
    <n v="0.18940000000000001"/>
    <n v="55382.6"/>
    <n v="2735.9500000000003"/>
    <n v="24930.85"/>
    <n v="1878.8"/>
    <n v="44893.135559999995"/>
    <n v="15347.535559999993"/>
    <n v="0.34186820253372374"/>
  </r>
  <r>
    <n v="312"/>
    <s v="FMCG-2025-010147"/>
    <x v="137"/>
    <x v="5"/>
    <s v="South"/>
    <s v="Hyderabad"/>
    <s v="Aarav Malhotra"/>
    <s v="B2B"/>
    <x v="0"/>
    <x v="3"/>
    <x v="2"/>
    <x v="3"/>
    <n v="185"/>
    <n v="185.15"/>
    <n v="0.15429999999999999"/>
    <n v="34252.75"/>
    <n v="3075.1"/>
    <n v="17399.899999999998"/>
    <n v="2357.9500000000003"/>
    <n v="28967.550674999999"/>
    <n v="6134.6006749999997"/>
    <n v="0.21177491821199687"/>
  </r>
  <r>
    <n v="313"/>
    <s v="FMCG-2025-010168"/>
    <x v="210"/>
    <x v="5"/>
    <s v="North"/>
    <s v="Delhi"/>
    <s v="Meera Nair"/>
    <s v="B2C"/>
    <x v="1"/>
    <x v="1"/>
    <x v="0"/>
    <x v="11"/>
    <n v="95"/>
    <n v="191.1"/>
    <n v="0.13650000000000001"/>
    <n v="18154.5"/>
    <n v="2733.5"/>
    <n v="9043.2999999999993"/>
    <n v="1604.75"/>
    <n v="15676.410749999999"/>
    <n v="2294.8607499999998"/>
    <n v="0.14638942463280377"/>
  </r>
  <r>
    <n v="314"/>
    <s v="FMCG-2025-010207"/>
    <x v="211"/>
    <x v="6"/>
    <s v="North"/>
    <s v="Delhi"/>
    <s v="Meera Nair"/>
    <s v="B2B"/>
    <x v="2"/>
    <x v="2"/>
    <x v="3"/>
    <x v="24"/>
    <n v="277"/>
    <n v="78.05"/>
    <n v="0.15039999999999998"/>
    <n v="21619.85"/>
    <n v="1484.7"/>
    <n v="13991.25"/>
    <n v="1276.8"/>
    <n v="18368.224559999999"/>
    <n v="1615.4745599999994"/>
    <n v="8.7949412569681668E-2"/>
  </r>
  <r>
    <n v="315"/>
    <s v="FMCG-2025-010238"/>
    <x v="138"/>
    <x v="7"/>
    <s v="South"/>
    <s v="Bengaluru"/>
    <s v="Rizwan Khan"/>
    <s v="B2C"/>
    <x v="1"/>
    <x v="0"/>
    <x v="0"/>
    <x v="0"/>
    <n v="64"/>
    <n v="175.35"/>
    <n v="4.1799999999999997E-2"/>
    <n v="11222.4"/>
    <n v="1287.3"/>
    <n v="6464.85"/>
    <n v="1125.95"/>
    <n v="10753.303680000001"/>
    <n v="1875.2036799999998"/>
    <n v="0.17438396011150312"/>
  </r>
  <r>
    <n v="316"/>
    <s v="FMCG-2025-010262"/>
    <x v="212"/>
    <x v="11"/>
    <s v="South"/>
    <s v="Hyderabad"/>
    <s v="Nikhil Bhat"/>
    <s v="B2C"/>
    <x v="1"/>
    <x v="3"/>
    <x v="2"/>
    <x v="18"/>
    <n v="68"/>
    <n v="159.95000000000002"/>
    <n v="6.6400000000000001E-2"/>
    <n v="10876.6"/>
    <n v="1878.8"/>
    <n v="5374.25"/>
    <n v="1128.75"/>
    <n v="10154.393760000001"/>
    <n v="1772.5937600000009"/>
    <n v="0.17456421347206066"/>
  </r>
  <r>
    <n v="317"/>
    <s v="FMCG-2025-010266"/>
    <x v="1"/>
    <x v="1"/>
    <s v="West"/>
    <s v="Mumbai"/>
    <s v="Aarav Malhotra"/>
    <s v="B2C"/>
    <x v="0"/>
    <x v="2"/>
    <x v="1"/>
    <x v="20"/>
    <n v="94"/>
    <n v="127.05"/>
    <n v="7.7199999999999991E-2"/>
    <n v="11942.699999999999"/>
    <n v="1193.5"/>
    <n v="6368.25"/>
    <n v="838.25"/>
    <n v="11020.72356"/>
    <n v="2620.7235600000004"/>
    <n v="0.23779959144533702"/>
  </r>
  <r>
    <n v="318"/>
    <s v="FMCG-2025-010282"/>
    <x v="135"/>
    <x v="5"/>
    <s v="North"/>
    <s v="Delhi"/>
    <s v="Farah Siddiqui"/>
    <s v="B2B"/>
    <x v="0"/>
    <x v="2"/>
    <x v="0"/>
    <x v="0"/>
    <n v="104"/>
    <n v="170.45000000000002"/>
    <n v="7.9100000000000004E-2"/>
    <n v="17726.800000000003"/>
    <n v="3182.2000000000003"/>
    <n v="9324.7000000000007"/>
    <n v="1133.3000000000002"/>
    <n v="16324.610120000003"/>
    <n v="2684.4101200000009"/>
    <n v="0.16443946288868555"/>
  </r>
  <r>
    <n v="319"/>
    <s v="FMCG-2025-010327"/>
    <x v="95"/>
    <x v="3"/>
    <s v="South"/>
    <s v="Hyderabad"/>
    <s v="Diya Kapoor"/>
    <s v="B2B"/>
    <x v="0"/>
    <x v="0"/>
    <x v="0"/>
    <x v="12"/>
    <n v="217"/>
    <n v="83.3"/>
    <n v="0.16329999999999997"/>
    <n v="18076.099999999999"/>
    <n v="3858.75"/>
    <n v="7459.2"/>
    <n v="1054.9000000000001"/>
    <n v="15124.272869999999"/>
    <n v="2751.4228699999994"/>
    <n v="0.18192100166730193"/>
  </r>
  <r>
    <n v="320"/>
    <s v="FMCG-2025-010347"/>
    <x v="85"/>
    <x v="0"/>
    <s v="South"/>
    <s v="Hyderabad"/>
    <s v="Rizwan Khan"/>
    <s v="B2B"/>
    <x v="2"/>
    <x v="2"/>
    <x v="2"/>
    <x v="22"/>
    <n v="197"/>
    <n v="136.5"/>
    <n v="0.12990000000000002"/>
    <n v="26890.5"/>
    <n v="1114.05"/>
    <n v="13367.550000000001"/>
    <n v="1379.35"/>
    <n v="23397.424049999998"/>
    <n v="7536.474049999998"/>
    <n v="0.3221069992104536"/>
  </r>
  <r>
    <n v="321"/>
    <s v="FMCG-2025-010377"/>
    <x v="213"/>
    <x v="5"/>
    <s v="North"/>
    <s v="Delhi"/>
    <s v="Rohan Iyer"/>
    <s v="B2C"/>
    <x v="1"/>
    <x v="2"/>
    <x v="3"/>
    <x v="8"/>
    <n v="45"/>
    <n v="85.050000000000011"/>
    <n v="7.4999999999999997E-2"/>
    <n v="3827.2500000000005"/>
    <n v="618.1"/>
    <n v="2614.15"/>
    <n v="406.34999999999997"/>
    <n v="3540.2062500000006"/>
    <n v="-98.393749999999386"/>
    <n v="-2.7793225324089343E-2"/>
  </r>
  <r>
    <n v="322"/>
    <s v="FMCG-2025-010397"/>
    <x v="214"/>
    <x v="0"/>
    <s v="South"/>
    <s v="Hyderabad"/>
    <s v="Aarav Malhotra"/>
    <s v="B2B"/>
    <x v="0"/>
    <x v="2"/>
    <x v="2"/>
    <x v="18"/>
    <n v="156"/>
    <n v="158.19999999999999"/>
    <n v="0.10220000000000001"/>
    <n v="24679.199999999997"/>
    <n v="2000.25"/>
    <n v="12012"/>
    <n v="1775.2"/>
    <n v="22156.985759999996"/>
    <n v="6369.5357599999952"/>
    <n v="0.2874730267462155"/>
  </r>
  <r>
    <n v="323"/>
    <s v="FMCG-2025-010413"/>
    <x v="150"/>
    <x v="2"/>
    <s v="North"/>
    <s v="Delhi"/>
    <s v="Anika Verma"/>
    <s v="B2B"/>
    <x v="2"/>
    <x v="2"/>
    <x v="1"/>
    <x v="21"/>
    <n v="303"/>
    <n v="145.25"/>
    <n v="8.6999999999999994E-2"/>
    <n v="44010.75"/>
    <n v="1869.7"/>
    <n v="20696.900000000001"/>
    <n v="2081.7999999999997"/>
    <n v="40181.814750000005"/>
    <n v="15533.41475"/>
    <n v="0.38657822815232601"/>
  </r>
  <r>
    <n v="324"/>
    <s v="FMCG-2025-010457"/>
    <x v="140"/>
    <x v="11"/>
    <s v="North"/>
    <s v="Delhi"/>
    <s v="Aarav Malhotra"/>
    <s v="B2C"/>
    <x v="1"/>
    <x v="2"/>
    <x v="0"/>
    <x v="12"/>
    <n v="67"/>
    <n v="83.3"/>
    <n v="6.6500000000000004E-2"/>
    <n v="5581.0999999999995"/>
    <n v="658"/>
    <n v="2500.75"/>
    <n v="528.5"/>
    <n v="5209.9568499999996"/>
    <n v="1522.7068499999996"/>
    <n v="0.29226861063158321"/>
  </r>
  <r>
    <n v="325"/>
    <s v="FMCG-2025-010512"/>
    <x v="215"/>
    <x v="2"/>
    <s v="West"/>
    <s v="Mumbai"/>
    <s v="Rohan Iyer"/>
    <s v="B2B"/>
    <x v="0"/>
    <x v="2"/>
    <x v="3"/>
    <x v="26"/>
    <n v="208"/>
    <n v="240.79999999999998"/>
    <n v="0.11109999999999999"/>
    <n v="50086.399999999994"/>
    <n v="5339.6"/>
    <n v="31916.85"/>
    <n v="3459.4"/>
    <n v="44521.800959999993"/>
    <n v="3805.9509599999928"/>
    <n v="8.5485107923181231E-2"/>
  </r>
  <r>
    <n v="326"/>
    <s v="FMCG-2025-010538"/>
    <x v="216"/>
    <x v="8"/>
    <s v="North"/>
    <s v="Delhi"/>
    <s v="Rizwan Khan"/>
    <s v="B2B"/>
    <x v="2"/>
    <x v="1"/>
    <x v="1"/>
    <x v="1"/>
    <n v="356"/>
    <n v="81.55"/>
    <n v="0.18909999999999999"/>
    <n v="29031.8"/>
    <n v="2122.4"/>
    <n v="12318.25"/>
    <n v="1185.0999999999999"/>
    <n v="23541.886619999997"/>
    <n v="7916.1366199999993"/>
    <n v="0.33625752887939109"/>
  </r>
  <r>
    <n v="327"/>
    <s v="FMCG-2025-010568"/>
    <x v="89"/>
    <x v="10"/>
    <s v="South"/>
    <s v="Bengaluru"/>
    <s v="Diya Kapoor"/>
    <s v="B2C"/>
    <x v="1"/>
    <x v="0"/>
    <x v="1"/>
    <x v="17"/>
    <n v="59"/>
    <n v="174.3"/>
    <n v="7.1800000000000003E-2"/>
    <n v="10283.700000000001"/>
    <n v="1085.7"/>
    <n v="6043.0999999999995"/>
    <n v="984.2"/>
    <n v="9545.3303400000004"/>
    <n v="1432.3303400000002"/>
    <n v="0.15005560719022745"/>
  </r>
  <r>
    <n v="328"/>
    <s v="FMCG-2025-010570"/>
    <x v="217"/>
    <x v="11"/>
    <s v="South"/>
    <s v="Bengaluru"/>
    <s v="Nikhil Bhat"/>
    <s v="B2B"/>
    <x v="0"/>
    <x v="2"/>
    <x v="4"/>
    <x v="7"/>
    <n v="96"/>
    <n v="87.15"/>
    <n v="0.13970000000000002"/>
    <n v="8366.4000000000015"/>
    <n v="733.25"/>
    <n v="4085.55"/>
    <n v="558.95000000000005"/>
    <n v="7197.6139200000007"/>
    <n v="1819.8639200000007"/>
    <n v="0.25284266983856235"/>
  </r>
  <r>
    <n v="329"/>
    <s v="FMCG-2025-010580"/>
    <x v="218"/>
    <x v="7"/>
    <s v="North"/>
    <s v="Delhi"/>
    <s v="Farah Siddiqui"/>
    <s v="B2C"/>
    <x v="0"/>
    <x v="1"/>
    <x v="1"/>
    <x v="17"/>
    <n v="74"/>
    <n v="165.55"/>
    <n v="0.1225"/>
    <n v="12250.7"/>
    <n v="1211.3499999999999"/>
    <n v="6651.75"/>
    <n v="828.1"/>
    <n v="10749.989250000001"/>
    <n v="2058.7892500000003"/>
    <n v="0.19151547058523805"/>
  </r>
  <r>
    <n v="330"/>
    <s v="FMCG-2025-010589"/>
    <x v="192"/>
    <x v="6"/>
    <s v="South"/>
    <s v="Bengaluru"/>
    <s v="Anika Verma"/>
    <s v="B2C"/>
    <x v="1"/>
    <x v="4"/>
    <x v="3"/>
    <x v="5"/>
    <n v="163"/>
    <n v="150.85"/>
    <n v="0.125"/>
    <n v="24588.55"/>
    <n v="4522"/>
    <n v="14813.050000000001"/>
    <n v="2453.15"/>
    <n v="21514.981250000001"/>
    <n v="-273.21875000000182"/>
    <n v="-1.2699000144376226E-2"/>
  </r>
  <r>
    <n v="331"/>
    <s v="FMCG-2025-010693"/>
    <x v="219"/>
    <x v="9"/>
    <s v="South"/>
    <s v="Bengaluru"/>
    <s v="Nikhil Bhat"/>
    <s v="B2C"/>
    <x v="1"/>
    <x v="6"/>
    <x v="2"/>
    <x v="3"/>
    <n v="7"/>
    <n v="166.6"/>
    <n v="0.12909999999999999"/>
    <n v="1166.2"/>
    <n v="206.5"/>
    <n v="616.70000000000005"/>
    <n v="117.25"/>
    <n v="1015.64358"/>
    <n v="75.193579999999997"/>
    <n v="7.4035401277286653E-2"/>
  </r>
  <r>
    <n v="332"/>
    <s v="FMCG-2025-010746"/>
    <x v="7"/>
    <x v="6"/>
    <s v="North"/>
    <s v="Delhi"/>
    <s v="Nikhil Bhat"/>
    <s v="B2C"/>
    <x v="1"/>
    <x v="6"/>
    <x v="4"/>
    <x v="28"/>
    <n v="7"/>
    <n v="69.650000000000006"/>
    <n v="0.13439999999999999"/>
    <n v="487.55000000000007"/>
    <n v="185.85"/>
    <n v="239.75"/>
    <n v="42"/>
    <n v="422.02328000000006"/>
    <n v="-45.576719999999938"/>
    <n v="-0.10799574848098412"/>
  </r>
  <r>
    <n v="333"/>
    <s v="FMCG-2025-010747"/>
    <x v="20"/>
    <x v="2"/>
    <s v="South"/>
    <s v="Hyderabad"/>
    <s v="Anika Verma"/>
    <s v="B2B"/>
    <x v="0"/>
    <x v="3"/>
    <x v="3"/>
    <x v="26"/>
    <n v="60"/>
    <n v="272.3"/>
    <n v="0.16699999999999998"/>
    <n v="16338"/>
    <n v="2033.5"/>
    <n v="8906.1"/>
    <n v="1033.2"/>
    <n v="13609.554"/>
    <n v="1636.753999999999"/>
    <n v="0.1202650726100208"/>
  </r>
  <r>
    <n v="334"/>
    <s v="FMCG-2025-010788"/>
    <x v="220"/>
    <x v="2"/>
    <s v="West"/>
    <s v="Mumbai"/>
    <s v="Nikhil Bhat"/>
    <s v="B2B"/>
    <x v="0"/>
    <x v="2"/>
    <x v="3"/>
    <x v="8"/>
    <n v="256"/>
    <n v="86.45"/>
    <n v="9.9900000000000003E-2"/>
    <n v="22131.200000000001"/>
    <n v="1836.1000000000001"/>
    <n v="12949.65"/>
    <n v="1687"/>
    <n v="19920.293120000002"/>
    <n v="3447.5431200000021"/>
    <n v="0.17306688708002313"/>
  </r>
  <r>
    <n v="335"/>
    <s v="FMCG-2025-010808"/>
    <x v="107"/>
    <x v="11"/>
    <s v="South"/>
    <s v="Hyderabad"/>
    <s v="Nikhil Bhat"/>
    <s v="B2C"/>
    <x v="1"/>
    <x v="2"/>
    <x v="4"/>
    <x v="27"/>
    <n v="50"/>
    <n v="104.65"/>
    <n v="3.9199999999999999E-2"/>
    <n v="5232.5"/>
    <n v="1534.75"/>
    <n v="2965.8999999999996"/>
    <n v="450.45"/>
    <n v="5027.3859999999995"/>
    <n v="76.286000000000058"/>
    <n v="1.5174088482563318E-2"/>
  </r>
  <r>
    <n v="336"/>
    <s v="FMCG-2025-010833"/>
    <x v="43"/>
    <x v="6"/>
    <s v="South"/>
    <s v="Hyderabad"/>
    <s v="Diya Kapoor"/>
    <s v="B2C"/>
    <x v="0"/>
    <x v="2"/>
    <x v="3"/>
    <x v="24"/>
    <n v="174"/>
    <n v="81.199999999999989"/>
    <n v="5.5899999999999998E-2"/>
    <n v="14128.799999999997"/>
    <n v="1589"/>
    <n v="9475.2000000000007"/>
    <n v="992.6"/>
    <n v="13339.000079999998"/>
    <n v="1282.2000799999969"/>
    <n v="9.6124152658375053E-2"/>
  </r>
  <r>
    <n v="337"/>
    <s v="FMCG-2025-010834"/>
    <x v="120"/>
    <x v="1"/>
    <s v="West"/>
    <s v="Mumbai"/>
    <s v="Rizwan Khan"/>
    <s v="B2B"/>
    <x v="2"/>
    <x v="2"/>
    <x v="3"/>
    <x v="13"/>
    <n v="607"/>
    <n v="109.55"/>
    <n v="0.13039999999999999"/>
    <n v="66496.849999999991"/>
    <n v="4136.3"/>
    <n v="34227.9"/>
    <n v="3539.2000000000003"/>
    <n v="57825.660759999992"/>
    <n v="15922.260759999994"/>
    <n v="0.27534939593831625"/>
  </r>
  <r>
    <n v="338"/>
    <s v="FMCG-2025-010838"/>
    <x v="0"/>
    <x v="0"/>
    <s v="South"/>
    <s v="Hyderabad"/>
    <s v="Aarav Malhotra"/>
    <s v="B2C"/>
    <x v="1"/>
    <x v="2"/>
    <x v="4"/>
    <x v="14"/>
    <n v="18"/>
    <n v="105"/>
    <n v="3.6200000000000003E-2"/>
    <n v="1890"/>
    <n v="503.3"/>
    <n v="1000.65"/>
    <n v="172.9"/>
    <n v="1821.5819999999999"/>
    <n v="144.7319999999998"/>
    <n v="7.9454013050194727E-2"/>
  </r>
  <r>
    <n v="339"/>
    <s v="FMCG-2025-010881"/>
    <x v="77"/>
    <x v="4"/>
    <s v="South"/>
    <s v="Hyderabad"/>
    <s v="Nikhil Bhat"/>
    <s v="B2B"/>
    <x v="3"/>
    <x v="4"/>
    <x v="2"/>
    <x v="16"/>
    <n v="422"/>
    <n v="275.10000000000002"/>
    <n v="0.24010000000000001"/>
    <n v="116092.20000000001"/>
    <n v="10666.6"/>
    <n v="49992.95"/>
    <n v="4708.55"/>
    <n v="88218.462780000016"/>
    <n v="22850.362780000018"/>
    <n v="0.25902018761066437"/>
  </r>
  <r>
    <n v="340"/>
    <s v="FMCG-2025-010931"/>
    <x v="192"/>
    <x v="6"/>
    <s v="South"/>
    <s v="Bengaluru"/>
    <s v="Rizwan Khan"/>
    <s v="B2C"/>
    <x v="1"/>
    <x v="2"/>
    <x v="4"/>
    <x v="9"/>
    <n v="123"/>
    <n v="154.69999999999999"/>
    <n v="2.86E-2"/>
    <n v="19028.099999999999"/>
    <n v="3044.3"/>
    <n v="10204.25"/>
    <n v="1873.2"/>
    <n v="18483.896339999999"/>
    <n v="3362.1463399999984"/>
    <n v="0.18189597464492158"/>
  </r>
  <r>
    <n v="341"/>
    <s v="FMCG-2025-010943"/>
    <x v="166"/>
    <x v="5"/>
    <s v="North"/>
    <s v="Delhi"/>
    <s v="Rohan Iyer"/>
    <s v="B2B"/>
    <x v="3"/>
    <x v="4"/>
    <x v="0"/>
    <x v="23"/>
    <n v="495"/>
    <n v="188.64999999999998"/>
    <n v="0.26890000000000003"/>
    <n v="93381.749999999985"/>
    <n v="6623.0499999999993"/>
    <n v="43858.149999999994"/>
    <n v="2832.2000000000003"/>
    <n v="68271.397424999988"/>
    <n v="14957.997424999998"/>
    <n v="0.21909610743550706"/>
  </r>
  <r>
    <n v="342"/>
    <s v="FMCG-2025-010960"/>
    <x v="150"/>
    <x v="2"/>
    <s v="South"/>
    <s v="Bengaluru"/>
    <s v="Aarav Malhotra"/>
    <s v="B2C"/>
    <x v="1"/>
    <x v="2"/>
    <x v="2"/>
    <x v="22"/>
    <n v="35"/>
    <n v="149.44999999999999"/>
    <n v="7.1199999999999999E-2"/>
    <n v="5230.75"/>
    <n v="703.85"/>
    <n v="2476.9499999999998"/>
    <n v="577.85"/>
    <n v="4858.3206"/>
    <n v="1099.6705999999999"/>
    <n v="0.22634788655157914"/>
  </r>
  <r>
    <n v="343"/>
    <s v="FMCG-2025-011002"/>
    <x v="61"/>
    <x v="4"/>
    <s v="North"/>
    <s v="Delhi"/>
    <s v="Diya Kapoor"/>
    <s v="B2C"/>
    <x v="1"/>
    <x v="3"/>
    <x v="1"/>
    <x v="20"/>
    <n v="14"/>
    <n v="134.75"/>
    <n v="9.8900000000000002E-2"/>
    <n v="1886.5"/>
    <n v="276.85000000000002"/>
    <n v="881.65000000000009"/>
    <n v="187.60000000000002"/>
    <n v="1699.92515"/>
    <n v="353.82515000000001"/>
    <n v="0.2081416055289258"/>
  </r>
  <r>
    <n v="344"/>
    <s v="FMCG-2025-011078"/>
    <x v="221"/>
    <x v="2"/>
    <s v="South"/>
    <s v="Hyderabad"/>
    <s v="Farah Siddiqui"/>
    <s v="B2B"/>
    <x v="2"/>
    <x v="3"/>
    <x v="4"/>
    <x v="15"/>
    <n v="424"/>
    <n v="70.7"/>
    <n v="0.24109999999999998"/>
    <n v="29976.800000000003"/>
    <n v="2623.25"/>
    <n v="13900.25"/>
    <n v="1172.5"/>
    <n v="22749.393520000001"/>
    <n v="5053.3935200000014"/>
    <n v="0.22213310941926162"/>
  </r>
  <r>
    <n v="345"/>
    <s v="FMCG-2025-011109"/>
    <x v="222"/>
    <x v="7"/>
    <s v="South"/>
    <s v="Hyderabad"/>
    <s v="Nikhil Bhat"/>
    <s v="B2C"/>
    <x v="1"/>
    <x v="1"/>
    <x v="3"/>
    <x v="8"/>
    <n v="18"/>
    <n v="90.3"/>
    <n v="0.12720000000000001"/>
    <n v="1625.3999999999999"/>
    <n v="252.35"/>
    <n v="901.25"/>
    <n v="141.4"/>
    <n v="1418.6491199999998"/>
    <n v="123.64911999999973"/>
    <n v="8.7159762239164357E-2"/>
  </r>
  <r>
    <n v="346"/>
    <s v="FMCG-2025-011145"/>
    <x v="223"/>
    <x v="10"/>
    <s v="South"/>
    <s v="Hyderabad"/>
    <s v="Meera Nair"/>
    <s v="B2B"/>
    <x v="0"/>
    <x v="2"/>
    <x v="0"/>
    <x v="6"/>
    <n v="63"/>
    <n v="98.699999999999989"/>
    <n v="8.5000000000000006E-2"/>
    <n v="6218.0999999999995"/>
    <n v="491.4"/>
    <n v="2817.8500000000004"/>
    <n v="415.45"/>
    <n v="5689.5614999999998"/>
    <n v="1964.8614999999995"/>
    <n v="0.34534497957355759"/>
  </r>
  <r>
    <n v="347"/>
    <s v="FMCG-2025-011186"/>
    <x v="2"/>
    <x v="1"/>
    <s v="West"/>
    <s v="Mumbai"/>
    <s v="Aarav Malhotra"/>
    <s v="B2B"/>
    <x v="0"/>
    <x v="3"/>
    <x v="1"/>
    <x v="4"/>
    <n v="54"/>
    <n v="194.95000000000002"/>
    <n v="0.16089999999999999"/>
    <n v="10527.300000000001"/>
    <n v="1223.25"/>
    <n v="4883.55"/>
    <n v="555.44999999999993"/>
    <n v="8833.4574300000004"/>
    <n v="2171.2074299999995"/>
    <n v="0.24579361447151948"/>
  </r>
  <r>
    <n v="348"/>
    <s v="FMCG-2025-011187"/>
    <x v="224"/>
    <x v="1"/>
    <s v="South"/>
    <s v="Hyderabad"/>
    <s v="Rizwan Khan"/>
    <s v="B2B"/>
    <x v="3"/>
    <x v="2"/>
    <x v="2"/>
    <x v="22"/>
    <n v="194"/>
    <n v="134.05000000000001"/>
    <n v="0.1492"/>
    <n v="26005.7"/>
    <n v="755.65"/>
    <n v="13092.1"/>
    <n v="1146.95"/>
    <n v="22125.649560000002"/>
    <n v="7130.9495600000009"/>
    <n v="0.32229334287621253"/>
  </r>
  <r>
    <n v="349"/>
    <s v="FMCG-2025-011225"/>
    <x v="149"/>
    <x v="8"/>
    <s v="North"/>
    <s v="Delhi"/>
    <s v="Meera Nair"/>
    <s v="B2C"/>
    <x v="0"/>
    <x v="3"/>
    <x v="2"/>
    <x v="22"/>
    <n v="131"/>
    <n v="127.4"/>
    <n v="0.10289999999999999"/>
    <n v="16689.400000000001"/>
    <n v="4250.75"/>
    <n v="8053.5"/>
    <n v="1078"/>
    <n v="14972.060740000001"/>
    <n v="1589.8107400000008"/>
    <n v="0.10618516499553025"/>
  </r>
  <r>
    <n v="350"/>
    <s v="FMCG-2025-011232"/>
    <x v="225"/>
    <x v="3"/>
    <s v="West"/>
    <s v="Mumbai"/>
    <s v="Nikhil Bhat"/>
    <s v="B2C"/>
    <x v="1"/>
    <x v="1"/>
    <x v="1"/>
    <x v="4"/>
    <n v="68"/>
    <n v="186.20000000000002"/>
    <n v="8.929999999999999E-2"/>
    <n v="12661.6"/>
    <n v="1938.3000000000002"/>
    <n v="6286.35"/>
    <n v="1112.3"/>
    <n v="11530.91912"/>
    <n v="2193.9691200000007"/>
    <n v="0.19026836431404964"/>
  </r>
  <r>
    <n v="351"/>
    <s v="FMCG-2025-011267"/>
    <x v="22"/>
    <x v="2"/>
    <s v="West"/>
    <s v="Mumbai"/>
    <s v="Farah Siddiqui"/>
    <s v="B2C"/>
    <x v="3"/>
    <x v="1"/>
    <x v="2"/>
    <x v="2"/>
    <n v="810"/>
    <n v="136.85"/>
    <n v="0.1837"/>
    <n v="110848.5"/>
    <n v="7585.2"/>
    <n v="43432.9"/>
    <n v="4720.1000000000004"/>
    <n v="90485.630550000002"/>
    <n v="34747.430549999997"/>
    <n v="0.38401048142997107"/>
  </r>
  <r>
    <n v="352"/>
    <s v="FMCG-2025-011315"/>
    <x v="226"/>
    <x v="1"/>
    <s v="South"/>
    <s v="Hyderabad"/>
    <s v="Anika Verma"/>
    <s v="B2B"/>
    <x v="2"/>
    <x v="1"/>
    <x v="3"/>
    <x v="5"/>
    <n v="213"/>
    <n v="130.55000000000001"/>
    <n v="0.14279999999999998"/>
    <n v="27807.15"/>
    <n v="2781.45"/>
    <n v="16875.600000000002"/>
    <n v="1623.3000000000002"/>
    <n v="23836.288980000001"/>
    <n v="2555.9389799999999"/>
    <n v="0.10722889717206306"/>
  </r>
  <r>
    <n v="353"/>
    <s v="FMCG-2025-011338"/>
    <x v="227"/>
    <x v="10"/>
    <s v="North"/>
    <s v="Delhi"/>
    <s v="Nikhil Bhat"/>
    <s v="B2B"/>
    <x v="0"/>
    <x v="3"/>
    <x v="0"/>
    <x v="6"/>
    <n v="97"/>
    <n v="89.949999999999989"/>
    <n v="0.1142"/>
    <n v="8725.15"/>
    <n v="949.55"/>
    <n v="4003.65"/>
    <n v="575.75"/>
    <n v="7728.7378699999999"/>
    <n v="2199.7878700000001"/>
    <n v="0.28462446352835097"/>
  </r>
  <r>
    <n v="354"/>
    <s v="FMCG-2025-011351"/>
    <x v="228"/>
    <x v="5"/>
    <s v="West"/>
    <s v="Mumbai"/>
    <s v="Meera Nair"/>
    <s v="B2C"/>
    <x v="1"/>
    <x v="5"/>
    <x v="2"/>
    <x v="2"/>
    <n v="80"/>
    <n v="140.35"/>
    <n v="0.15010000000000001"/>
    <n v="11228"/>
    <n v="1566.25"/>
    <n v="4948.3"/>
    <n v="996.44999999999993"/>
    <n v="9542.6772000000001"/>
    <n v="2031.6771999999992"/>
    <n v="0.21290431997427295"/>
  </r>
  <r>
    <n v="355"/>
    <s v="FMCG-2025-011477"/>
    <x v="229"/>
    <x v="11"/>
    <s v="South"/>
    <s v="Hyderabad"/>
    <s v="Rohan Iyer"/>
    <s v="B2B"/>
    <x v="2"/>
    <x v="4"/>
    <x v="4"/>
    <x v="9"/>
    <n v="290"/>
    <n v="142.80000000000001"/>
    <n v="0.15310000000000001"/>
    <n v="41412"/>
    <n v="5101.9500000000007"/>
    <n v="19833.099999999999"/>
    <n v="2031.75"/>
    <n v="35071.822800000002"/>
    <n v="8105.0228000000025"/>
    <n v="0.2310978487265852"/>
  </r>
  <r>
    <n v="356"/>
    <s v="FMCG-2025-011492"/>
    <x v="124"/>
    <x v="6"/>
    <s v="South"/>
    <s v="Bengaluru"/>
    <s v="Meera Nair"/>
    <s v="B2B"/>
    <x v="2"/>
    <x v="2"/>
    <x v="4"/>
    <x v="7"/>
    <n v="238"/>
    <n v="87.5"/>
    <n v="7.9000000000000001E-2"/>
    <n v="20825"/>
    <n v="1350.3"/>
    <n v="11993.1"/>
    <n v="1046.5"/>
    <n v="19179.825000000001"/>
    <n v="4789.9250000000002"/>
    <n v="0.24973768008832198"/>
  </r>
  <r>
    <n v="357"/>
    <s v="FMCG-2025-011527"/>
    <x v="164"/>
    <x v="7"/>
    <s v="South"/>
    <s v="Bengaluru"/>
    <s v="Rohan Iyer"/>
    <s v="B2B"/>
    <x v="0"/>
    <x v="3"/>
    <x v="4"/>
    <x v="14"/>
    <n v="87"/>
    <n v="98.350000000000009"/>
    <n v="0.1313"/>
    <n v="8556.4500000000007"/>
    <n v="1247.75"/>
    <n v="4040.4"/>
    <n v="585.19999999999993"/>
    <n v="7432.988115000001"/>
    <n v="1559.6381150000011"/>
    <n v="0.20982653152002259"/>
  </r>
  <r>
    <n v="358"/>
    <s v="FMCG-2025-011534"/>
    <x v="230"/>
    <x v="1"/>
    <s v="South"/>
    <s v="Hyderabad"/>
    <s v="Meera Nair"/>
    <s v="B2B"/>
    <x v="0"/>
    <x v="5"/>
    <x v="4"/>
    <x v="27"/>
    <n v="276"/>
    <n v="103.6"/>
    <n v="0.16550000000000001"/>
    <n v="28593.599999999999"/>
    <n v="4471.6000000000004"/>
    <n v="12992.349999999999"/>
    <n v="1744.4"/>
    <n v="23861.359199999999"/>
    <n v="4653.0091999999986"/>
    <n v="0.19500185052325095"/>
  </r>
  <r>
    <n v="359"/>
    <s v="FMCG-2025-011579"/>
    <x v="131"/>
    <x v="0"/>
    <s v="North"/>
    <s v="Delhi"/>
    <s v="Meera Nair"/>
    <s v="B2B"/>
    <x v="2"/>
    <x v="2"/>
    <x v="0"/>
    <x v="6"/>
    <n v="213"/>
    <n v="97.65"/>
    <n v="0.1158"/>
    <n v="20799.45"/>
    <n v="952.35"/>
    <n v="9024.4"/>
    <n v="1094.1000000000001"/>
    <n v="18390.87369"/>
    <n v="7320.0236900000018"/>
    <n v="0.39802479280689362"/>
  </r>
  <r>
    <n v="360"/>
    <s v="FMCG-2025-011581"/>
    <x v="231"/>
    <x v="7"/>
    <s v="South"/>
    <s v="Bengaluru"/>
    <s v="Diya Kapoor"/>
    <s v="B2B"/>
    <x v="0"/>
    <x v="2"/>
    <x v="4"/>
    <x v="15"/>
    <n v="248"/>
    <n v="68.599999999999994"/>
    <n v="0.16670000000000001"/>
    <n v="17012.8"/>
    <n v="1445.1499999999999"/>
    <n v="8873.9"/>
    <n v="1058.05"/>
    <n v="14176.766239999999"/>
    <n v="2799.6662400000005"/>
    <n v="0.19748271168503098"/>
  </r>
  <r>
    <n v="361"/>
    <s v="FMCG-2025-011635"/>
    <x v="28"/>
    <x v="5"/>
    <s v="North"/>
    <s v="Delhi"/>
    <s v="Anika Verma"/>
    <s v="B2C"/>
    <x v="2"/>
    <x v="3"/>
    <x v="4"/>
    <x v="15"/>
    <n v="485"/>
    <n v="64.75"/>
    <n v="0.17249999999999999"/>
    <n v="31403.75"/>
    <n v="2378.9499999999998"/>
    <n v="15801.800000000001"/>
    <n v="1585.8500000000001"/>
    <n v="25986.603125000001"/>
    <n v="6220.003125000002"/>
    <n v="0.23935422013722701"/>
  </r>
  <r>
    <n v="362"/>
    <s v="FMCG-2025-011703"/>
    <x v="232"/>
    <x v="4"/>
    <s v="North"/>
    <s v="Delhi"/>
    <s v="Rohan Iyer"/>
    <s v="B2B"/>
    <x v="2"/>
    <x v="2"/>
    <x v="0"/>
    <x v="6"/>
    <n v="270"/>
    <n v="100.45"/>
    <n v="7.9299999999999995E-2"/>
    <n v="27121.5"/>
    <n v="1430.4499999999998"/>
    <n v="11986.099999999999"/>
    <n v="1378.3000000000002"/>
    <n v="24970.765049999998"/>
    <n v="10175.91505"/>
    <n v="0.40751314705914471"/>
  </r>
  <r>
    <n v="363"/>
    <s v="FMCG-2025-011721"/>
    <x v="40"/>
    <x v="3"/>
    <s v="South"/>
    <s v="Hyderabad"/>
    <s v="Nikhil Bhat"/>
    <s v="B2B"/>
    <x v="2"/>
    <x v="4"/>
    <x v="3"/>
    <x v="24"/>
    <n v="244"/>
    <n v="87.15"/>
    <n v="0.18899999999999997"/>
    <n v="21264.600000000002"/>
    <n v="2562.35"/>
    <n v="12577.25"/>
    <n v="1224.3"/>
    <n v="17245.590600000003"/>
    <n v="881.690600000004"/>
    <n v="5.1125567134824822E-2"/>
  </r>
  <r>
    <n v="364"/>
    <s v="FMCG-2025-011784"/>
    <x v="119"/>
    <x v="3"/>
    <s v="North"/>
    <s v="Delhi"/>
    <s v="Diya Kapoor"/>
    <s v="B2C"/>
    <x v="0"/>
    <x v="0"/>
    <x v="1"/>
    <x v="1"/>
    <n v="97"/>
    <n v="81.199999999999989"/>
    <n v="9.8900000000000002E-2"/>
    <n v="7876.3999999999987"/>
    <n v="747.95"/>
    <n v="3798.2"/>
    <n v="505.05"/>
    <n v="7097.424039999999"/>
    <n v="2046.2240399999989"/>
    <n v="0.28830516937804368"/>
  </r>
  <r>
    <n v="365"/>
    <s v="FMCG-2025-011885"/>
    <x v="233"/>
    <x v="9"/>
    <s v="South"/>
    <s v="Bengaluru"/>
    <s v="Rizwan Khan"/>
    <s v="B2B"/>
    <x v="3"/>
    <x v="2"/>
    <x v="4"/>
    <x v="14"/>
    <n v="847"/>
    <n v="102.2"/>
    <n v="0.17050000000000001"/>
    <n v="86563.400000000009"/>
    <n v="4207"/>
    <n v="38674.300000000003"/>
    <n v="3114.3"/>
    <n v="71804.340300000011"/>
    <n v="25808.740300000005"/>
    <n v="0.35943147993798924"/>
  </r>
  <r>
    <n v="366"/>
    <s v="FMCG-2025-011931"/>
    <x v="234"/>
    <x v="2"/>
    <s v="North"/>
    <s v="Delhi"/>
    <s v="Aarav Malhotra"/>
    <s v="B2C"/>
    <x v="0"/>
    <x v="6"/>
    <x v="2"/>
    <x v="18"/>
    <n v="113"/>
    <n v="160.65"/>
    <n v="0.16079999999999997"/>
    <n v="18153.45"/>
    <n v="2245.25"/>
    <n v="8750"/>
    <n v="1143.8"/>
    <n v="15234.375240000001"/>
    <n v="3095.3252400000019"/>
    <n v="0.20318032024528246"/>
  </r>
  <r>
    <n v="367"/>
    <s v="FMCG-2025-011943"/>
    <x v="235"/>
    <x v="6"/>
    <s v="North"/>
    <s v="Delhi"/>
    <s v="Farah Siddiqui"/>
    <s v="B2B"/>
    <x v="3"/>
    <x v="0"/>
    <x v="3"/>
    <x v="5"/>
    <n v="615"/>
    <n v="147"/>
    <n v="0.16829999999999998"/>
    <n v="90405"/>
    <n v="4662"/>
    <n v="48849.15"/>
    <n v="3767.4"/>
    <n v="75189.838499999998"/>
    <n v="17911.288500000002"/>
    <n v="0.23821421693836997"/>
  </r>
  <r>
    <n v="368"/>
    <s v="FMCG-2025-011969"/>
    <x v="158"/>
    <x v="2"/>
    <s v="South"/>
    <s v="Hyderabad"/>
    <s v="Meera Nair"/>
    <s v="B2C"/>
    <x v="1"/>
    <x v="6"/>
    <x v="0"/>
    <x v="0"/>
    <n v="11"/>
    <n v="171.14999999999998"/>
    <n v="0.15710000000000002"/>
    <n v="1882.6499999999996"/>
    <n v="327.95"/>
    <n v="897.75"/>
    <n v="165.2"/>
    <n v="1586.8856849999997"/>
    <n v="195.98568499999971"/>
    <n v="0.12350334170416298"/>
  </r>
  <r>
    <n v="369"/>
    <s v="FMCG-2025-011977"/>
    <x v="81"/>
    <x v="10"/>
    <s v="North"/>
    <s v="Delhi"/>
    <s v="Rohan Iyer"/>
    <s v="B2C"/>
    <x v="0"/>
    <x v="2"/>
    <x v="3"/>
    <x v="5"/>
    <n v="95"/>
    <n v="155.04999999999998"/>
    <n v="7.5899999999999995E-2"/>
    <n v="14729.749999999998"/>
    <n v="1637.3"/>
    <n v="8242.5"/>
    <n v="987"/>
    <n v="13611.761974999999"/>
    <n v="2744.9619749999993"/>
    <n v="0.20166103257179527"/>
  </r>
  <r>
    <n v="370"/>
    <s v="FMCG-2025-011986"/>
    <x v="236"/>
    <x v="6"/>
    <s v="West"/>
    <s v="Mumbai"/>
    <s v="Meera Nair"/>
    <s v="B2C"/>
    <x v="1"/>
    <x v="0"/>
    <x v="3"/>
    <x v="26"/>
    <n v="30"/>
    <n v="266.35000000000002"/>
    <n v="6.4299999999999996E-2"/>
    <n v="7990.5000000000009"/>
    <n v="1242.8499999999999"/>
    <n v="5310.2"/>
    <n v="744.1"/>
    <n v="7476.7108500000004"/>
    <n v="179.5608500000003"/>
    <n v="2.4016021697562409E-2"/>
  </r>
  <r>
    <n v="371"/>
    <s v="FMCG-2025-012143"/>
    <x v="205"/>
    <x v="10"/>
    <s v="South"/>
    <s v="Hyderabad"/>
    <s v="Aarav Malhotra"/>
    <s v="B2C"/>
    <x v="2"/>
    <x v="2"/>
    <x v="4"/>
    <x v="14"/>
    <n v="229"/>
    <n v="97.65"/>
    <n v="5.1500000000000004E-2"/>
    <n v="22361.850000000002"/>
    <n v="1526"/>
    <n v="11280.5"/>
    <n v="1115.8"/>
    <n v="21210.214725000002"/>
    <n v="7287.9147250000024"/>
    <n v="0.34360400493305243"/>
  </r>
  <r>
    <n v="372"/>
    <s v="FMCG-2025-012165"/>
    <x v="237"/>
    <x v="5"/>
    <s v="West"/>
    <s v="Mumbai"/>
    <s v="Diya Kapoor"/>
    <s v="B2C"/>
    <x v="1"/>
    <x v="1"/>
    <x v="0"/>
    <x v="23"/>
    <n v="9"/>
    <n v="228.9"/>
    <n v="0.1115"/>
    <n v="2060.1"/>
    <n v="313.95000000000005"/>
    <n v="1077.6499999999999"/>
    <n v="166.25"/>
    <n v="1830.3988499999998"/>
    <n v="272.5488499999999"/>
    <n v="0.14890134464409216"/>
  </r>
  <r>
    <n v="373"/>
    <s v="FMCG-2025-012238"/>
    <x v="170"/>
    <x v="11"/>
    <s v="North"/>
    <s v="Delhi"/>
    <s v="Diya Kapoor"/>
    <s v="B2B"/>
    <x v="3"/>
    <x v="3"/>
    <x v="2"/>
    <x v="16"/>
    <n v="227"/>
    <n v="294.7"/>
    <n v="0.20120000000000002"/>
    <n v="66896.899999999994"/>
    <n v="4173.75"/>
    <n v="31331.3"/>
    <n v="2809.45"/>
    <n v="53437.243719999991"/>
    <n v="15122.743719999995"/>
    <n v="0.28300007012412576"/>
  </r>
  <r>
    <n v="374"/>
    <s v="FMCG-2025-012241"/>
    <x v="238"/>
    <x v="3"/>
    <s v="North"/>
    <s v="Delhi"/>
    <s v="Farah Siddiqui"/>
    <s v="B2B"/>
    <x v="0"/>
    <x v="2"/>
    <x v="1"/>
    <x v="20"/>
    <n v="205"/>
    <n v="126"/>
    <n v="6.6299999999999998E-2"/>
    <n v="25830"/>
    <n v="2037"/>
    <n v="13197.1"/>
    <n v="1854.3"/>
    <n v="24117.470999999998"/>
    <n v="7029.0709999999981"/>
    <n v="0.29145141296116822"/>
  </r>
  <r>
    <n v="375"/>
    <s v="FMCG-2025-012245"/>
    <x v="239"/>
    <x v="1"/>
    <s v="North"/>
    <s v="Delhi"/>
    <s v="Nikhil Bhat"/>
    <s v="B2C"/>
    <x v="1"/>
    <x v="5"/>
    <x v="4"/>
    <x v="28"/>
    <n v="84"/>
    <n v="72.100000000000009"/>
    <n v="0.16079999999999997"/>
    <n v="6056.4000000000005"/>
    <n v="942.55"/>
    <n v="3399.5499999999997"/>
    <n v="511.34999999999997"/>
    <n v="5082.5308800000012"/>
    <n v="229.08088000000112"/>
    <n v="4.5072206231239087E-2"/>
  </r>
  <r>
    <n v="376"/>
    <s v="FMCG-2025-012274"/>
    <x v="58"/>
    <x v="1"/>
    <s v="South"/>
    <s v="Hyderabad"/>
    <s v="Diya Kapoor"/>
    <s v="B2B"/>
    <x v="0"/>
    <x v="2"/>
    <x v="3"/>
    <x v="8"/>
    <n v="87"/>
    <n v="73.149999999999991"/>
    <n v="0.1177"/>
    <n v="6364.0499999999993"/>
    <n v="507.84999999999997"/>
    <n v="3634.4"/>
    <n v="437.5"/>
    <n v="5615.0013149999995"/>
    <n v="1035.2513149999995"/>
    <n v="0.18437240829034421"/>
  </r>
  <r>
    <n v="377"/>
    <s v="FMCG-2025-012338"/>
    <x v="138"/>
    <x v="7"/>
    <s v="North"/>
    <s v="Delhi"/>
    <s v="Rizwan Khan"/>
    <s v="B2B"/>
    <x v="0"/>
    <x v="2"/>
    <x v="0"/>
    <x v="29"/>
    <n v="180"/>
    <n v="102.89999999999999"/>
    <n v="5.7699999999999994E-2"/>
    <n v="18522"/>
    <n v="1736.35"/>
    <n v="8377.6"/>
    <n v="1113.7"/>
    <n v="17453.280600000002"/>
    <n v="6225.6306000000004"/>
    <n v="0.35670260180197871"/>
  </r>
  <r>
    <n v="378"/>
    <s v="FMCG-2025-012343"/>
    <x v="240"/>
    <x v="6"/>
    <s v="North"/>
    <s v="Delhi"/>
    <s v="Rohan Iyer"/>
    <s v="B2B"/>
    <x v="3"/>
    <x v="2"/>
    <x v="2"/>
    <x v="16"/>
    <n v="653"/>
    <n v="259.35000000000002"/>
    <n v="0.14130000000000001"/>
    <n v="169355.55000000002"/>
    <n v="6413.4000000000005"/>
    <n v="77796.25"/>
    <n v="8285.5499999999993"/>
    <n v="145425.61078500003"/>
    <n v="52930.410785000036"/>
    <n v="0.36396897698613317"/>
  </r>
  <r>
    <n v="379"/>
    <s v="FMCG-2025-012345"/>
    <x v="59"/>
    <x v="0"/>
    <s v="West"/>
    <s v="Mumbai"/>
    <s v="Rizwan Khan"/>
    <s v="B2B"/>
    <x v="0"/>
    <x v="4"/>
    <x v="3"/>
    <x v="24"/>
    <n v="120"/>
    <n v="92.05"/>
    <n v="0.2034"/>
    <n v="11046"/>
    <n v="1779.05"/>
    <n v="6420.75"/>
    <n v="733.25"/>
    <n v="8799.2435999999998"/>
    <n v="-133.80640000000017"/>
    <n v="-1.520657980192754E-2"/>
  </r>
  <r>
    <n v="380"/>
    <s v="FMCG-2025-012418"/>
    <x v="241"/>
    <x v="4"/>
    <s v="West"/>
    <s v="Mumbai"/>
    <s v="Meera Nair"/>
    <s v="B2C"/>
    <x v="2"/>
    <x v="1"/>
    <x v="1"/>
    <x v="1"/>
    <n v="208"/>
    <n v="79.8"/>
    <n v="8.7799999999999989E-2"/>
    <n v="16598.399999999998"/>
    <n v="1114.4000000000001"/>
    <n v="7267.75"/>
    <n v="898.8"/>
    <n v="15141.060479999998"/>
    <n v="5860.1104799999994"/>
    <n v="0.38703434860066022"/>
  </r>
  <r>
    <n v="381"/>
    <s v="FMCG-2025-012432"/>
    <x v="239"/>
    <x v="1"/>
    <s v="South"/>
    <s v="Bengaluru"/>
    <s v="Anika Verma"/>
    <s v="B2B"/>
    <x v="0"/>
    <x v="2"/>
    <x v="2"/>
    <x v="19"/>
    <n v="256"/>
    <n v="83.3"/>
    <n v="5.1200000000000002E-2"/>
    <n v="21324.799999999999"/>
    <n v="2091.6"/>
    <n v="11075.050000000001"/>
    <n v="1548.4"/>
    <n v="20232.970239999999"/>
    <n v="5517.9202399999958"/>
    <n v="0.27271923867565556"/>
  </r>
  <r>
    <n v="382"/>
    <s v="FMCG-2025-012462"/>
    <x v="56"/>
    <x v="0"/>
    <s v="West"/>
    <s v="Mumbai"/>
    <s v="Nikhil Bhat"/>
    <s v="B2B"/>
    <x v="2"/>
    <x v="5"/>
    <x v="2"/>
    <x v="16"/>
    <n v="296"/>
    <n v="283.84999999999997"/>
    <n v="0.20309999999999997"/>
    <n v="84019.599999999991"/>
    <n v="8133.3"/>
    <n v="38493.35"/>
    <n v="3938.2"/>
    <n v="66955.219239999991"/>
    <n v="16390.369239999996"/>
    <n v="0.24479599090324775"/>
  </r>
  <r>
    <n v="383"/>
    <s v="FMCG-2025-012478"/>
    <x v="242"/>
    <x v="4"/>
    <s v="South"/>
    <s v="Bengaluru"/>
    <s v="Rohan Iyer"/>
    <s v="B2B"/>
    <x v="3"/>
    <x v="1"/>
    <x v="3"/>
    <x v="8"/>
    <n v="210"/>
    <n v="82.95"/>
    <n v="0.16449999999999998"/>
    <n v="17419.5"/>
    <n v="1181.5999999999999"/>
    <n v="9649.5"/>
    <n v="722.75"/>
    <n v="14553.992250000001"/>
    <n v="3000.1422500000012"/>
    <n v="0.2061387829858162"/>
  </r>
  <r>
    <n v="384"/>
    <s v="FMCG-2025-012498"/>
    <x v="140"/>
    <x v="11"/>
    <s v="South"/>
    <s v="Hyderabad"/>
    <s v="Anika Verma"/>
    <s v="B2B"/>
    <x v="0"/>
    <x v="2"/>
    <x v="4"/>
    <x v="27"/>
    <n v="298"/>
    <n v="106.05"/>
    <n v="0.1419"/>
    <n v="31602.899999999998"/>
    <n v="2604.35"/>
    <n v="14867.3"/>
    <n v="1965.6"/>
    <n v="27118.448489999999"/>
    <n v="7681.1984900000007"/>
    <n v="0.28324623707113861"/>
  </r>
  <r>
    <n v="385"/>
    <s v="FMCG-2025-012499"/>
    <x v="198"/>
    <x v="0"/>
    <s v="South"/>
    <s v="Bengaluru"/>
    <s v="Anika Verma"/>
    <s v="B2C"/>
    <x v="1"/>
    <x v="5"/>
    <x v="3"/>
    <x v="24"/>
    <n v="65"/>
    <n v="82.95"/>
    <n v="0.13589999999999999"/>
    <n v="5391.75"/>
    <n v="997.5"/>
    <n v="3559.15"/>
    <n v="547.75"/>
    <n v="4659.0111749999996"/>
    <n v="-445.38882500000045"/>
    <n v="-9.5597286263216674E-2"/>
  </r>
  <r>
    <n v="386"/>
    <s v="FMCG-2025-012523"/>
    <x v="243"/>
    <x v="2"/>
    <s v="West"/>
    <s v="Mumbai"/>
    <s v="Nikhil Bhat"/>
    <s v="B2B"/>
    <x v="0"/>
    <x v="3"/>
    <x v="3"/>
    <x v="5"/>
    <n v="302"/>
    <n v="145.6"/>
    <n v="0.12710000000000002"/>
    <n v="43971.199999999997"/>
    <n v="6085.8"/>
    <n v="24836.7"/>
    <n v="2775.15"/>
    <n v="38382.460479999994"/>
    <n v="4684.8104799999919"/>
    <n v="0.12205602302231544"/>
  </r>
  <r>
    <n v="387"/>
    <s v="FMCG-2025-012538"/>
    <x v="21"/>
    <x v="9"/>
    <s v="South"/>
    <s v="Bengaluru"/>
    <s v="Nikhil Bhat"/>
    <s v="B2C"/>
    <x v="0"/>
    <x v="1"/>
    <x v="3"/>
    <x v="10"/>
    <n v="114"/>
    <n v="114.1"/>
    <n v="9.7500000000000003E-2"/>
    <n v="13007.4"/>
    <n v="1662.5"/>
    <n v="7098"/>
    <n v="982.8"/>
    <n v="11739.1785"/>
    <n v="1995.8785000000007"/>
    <n v="0.17001858349798504"/>
  </r>
  <r>
    <n v="388"/>
    <s v="FMCG-2025-012543"/>
    <x v="41"/>
    <x v="11"/>
    <s v="South"/>
    <s v="Hyderabad"/>
    <s v="Nikhil Bhat"/>
    <s v="B2C"/>
    <x v="1"/>
    <x v="3"/>
    <x v="0"/>
    <x v="11"/>
    <n v="123"/>
    <n v="190.75"/>
    <n v="0.10730000000000001"/>
    <n v="23462.25"/>
    <n v="3825.85"/>
    <n v="11738.65"/>
    <n v="2244.2000000000003"/>
    <n v="20944.750575000002"/>
    <n v="3136.0505750000016"/>
    <n v="0.14972966919659778"/>
  </r>
  <r>
    <n v="389"/>
    <s v="FMCG-2025-012577"/>
    <x v="244"/>
    <x v="6"/>
    <s v="South"/>
    <s v="Hyderabad"/>
    <s v="Diya Kapoor"/>
    <s v="B2B"/>
    <x v="3"/>
    <x v="5"/>
    <x v="0"/>
    <x v="0"/>
    <n v="628"/>
    <n v="144.89999999999998"/>
    <n v="0.15710000000000002"/>
    <n v="90997.199999999983"/>
    <n v="8971.9"/>
    <n v="43023.75"/>
    <n v="3276.35"/>
    <n v="76701.539879999982"/>
    <n v="21429.539879999975"/>
    <n v="0.27938865260758283"/>
  </r>
  <r>
    <n v="390"/>
    <s v="FMCG-2025-012621"/>
    <x v="112"/>
    <x v="9"/>
    <s v="South"/>
    <s v="Bengaluru"/>
    <s v="Rizwan Khan"/>
    <s v="B2C"/>
    <x v="1"/>
    <x v="1"/>
    <x v="3"/>
    <x v="8"/>
    <n v="67"/>
    <n v="91"/>
    <n v="0.1041"/>
    <n v="6097"/>
    <n v="1043.7"/>
    <n v="3833.55"/>
    <n v="570.5"/>
    <n v="5462.3023000000003"/>
    <n v="14.552300000000059"/>
    <n v="2.6641330341603498E-3"/>
  </r>
  <r>
    <n v="391"/>
    <s v="FMCG-2025-012657"/>
    <x v="245"/>
    <x v="5"/>
    <s v="North"/>
    <s v="Delhi"/>
    <s v="Farah Siddiqui"/>
    <s v="B2C"/>
    <x v="0"/>
    <x v="1"/>
    <x v="1"/>
    <x v="20"/>
    <n v="169"/>
    <n v="142.1"/>
    <n v="0.11349999999999999"/>
    <n v="24014.899999999998"/>
    <n v="2589.6499999999996"/>
    <n v="11837.7"/>
    <n v="1656.9"/>
    <n v="21289.208849999999"/>
    <n v="5204.9588499999973"/>
    <n v="0.24448812948725418"/>
  </r>
  <r>
    <n v="392"/>
    <s v="FMCG-2025-012690"/>
    <x v="246"/>
    <x v="10"/>
    <s v="South"/>
    <s v="Hyderabad"/>
    <s v="Diya Kapoor"/>
    <s v="B2C"/>
    <x v="1"/>
    <x v="2"/>
    <x v="4"/>
    <x v="14"/>
    <n v="102"/>
    <n v="101.15"/>
    <n v="6.3299999999999995E-2"/>
    <n v="10317.300000000001"/>
    <n v="1683.15"/>
    <n v="5150.5999999999995"/>
    <n v="969.15000000000009"/>
    <n v="9664.2149100000006"/>
    <n v="1861.3149100000014"/>
    <n v="0.19259866707579262"/>
  </r>
  <r>
    <n v="393"/>
    <s v="FMCG-2025-012726"/>
    <x v="247"/>
    <x v="5"/>
    <s v="West"/>
    <s v="Mumbai"/>
    <s v="Meera Nair"/>
    <s v="B2B"/>
    <x v="2"/>
    <x v="4"/>
    <x v="0"/>
    <x v="29"/>
    <n v="306"/>
    <n v="91.7"/>
    <n v="0.13220000000000001"/>
    <n v="28060.2"/>
    <n v="3158.05"/>
    <n v="11688.25"/>
    <n v="1332.45"/>
    <n v="24350.64156"/>
    <n v="8171.8915599999991"/>
    <n v="0.33559245409877403"/>
  </r>
  <r>
    <n v="394"/>
    <s v="FMCG-2025-012739"/>
    <x v="49"/>
    <x v="7"/>
    <s v="North"/>
    <s v="Delhi"/>
    <s v="Rizwan Khan"/>
    <s v="B2B"/>
    <x v="0"/>
    <x v="2"/>
    <x v="3"/>
    <x v="26"/>
    <n v="156"/>
    <n v="253.4"/>
    <n v="8.3299999999999999E-2"/>
    <n v="39530.400000000001"/>
    <n v="3665.8999999999996"/>
    <n v="24003.7"/>
    <n v="2621.85"/>
    <n v="36237.517679999997"/>
    <n v="5946.0676799999983"/>
    <n v="0.16408595457634556"/>
  </r>
  <r>
    <n v="395"/>
    <s v="FMCG-2025-012770"/>
    <x v="248"/>
    <x v="9"/>
    <s v="West"/>
    <s v="Mumbai"/>
    <s v="Anika Verma"/>
    <s v="B2C"/>
    <x v="1"/>
    <x v="2"/>
    <x v="0"/>
    <x v="0"/>
    <n v="71"/>
    <n v="164.15"/>
    <n v="1.7500000000000002E-2"/>
    <n v="11654.65"/>
    <n v="1363.95"/>
    <n v="6180.6500000000005"/>
    <n v="1266.6499999999999"/>
    <n v="11450.693625"/>
    <n v="2639.4436249999999"/>
    <n v="0.23050513020777813"/>
  </r>
  <r>
    <n v="396"/>
    <s v="FMCG-2025-012787"/>
    <x v="233"/>
    <x v="9"/>
    <s v="North"/>
    <s v="Delhi"/>
    <s v="Rizwan Khan"/>
    <s v="B2C"/>
    <x v="0"/>
    <x v="6"/>
    <x v="4"/>
    <x v="14"/>
    <n v="85"/>
    <n v="101.85000000000001"/>
    <n v="0.16089999999999999"/>
    <n v="8657.25"/>
    <n v="1253.3500000000001"/>
    <n v="4193.7"/>
    <n v="521.15"/>
    <n v="7264.2984749999996"/>
    <n v="1296.098475"/>
    <n v="0.1784203222734457"/>
  </r>
  <r>
    <n v="397"/>
    <s v="FMCG-2025-012819"/>
    <x v="6"/>
    <x v="5"/>
    <s v="West"/>
    <s v="Mumbai"/>
    <s v="Diya Kapoor"/>
    <s v="B2B"/>
    <x v="0"/>
    <x v="3"/>
    <x v="0"/>
    <x v="6"/>
    <n v="101"/>
    <n v="96.95"/>
    <n v="0.111"/>
    <n v="9791.9500000000007"/>
    <n v="1142.0500000000002"/>
    <n v="4692.8"/>
    <n v="605.84999999999991"/>
    <n v="8705.0435500000003"/>
    <n v="2264.3435499999996"/>
    <n v="0.26011857803973876"/>
  </r>
  <r>
    <n v="398"/>
    <s v="FMCG-2025-012830"/>
    <x v="249"/>
    <x v="7"/>
    <s v="South"/>
    <s v="Bengaluru"/>
    <s v="Rohan Iyer"/>
    <s v="B2B"/>
    <x v="0"/>
    <x v="5"/>
    <x v="1"/>
    <x v="4"/>
    <n v="317"/>
    <n v="183.75"/>
    <n v="0.17129999999999998"/>
    <n v="58248.75"/>
    <n v="8513.4"/>
    <n v="27102.95"/>
    <n v="3502.45"/>
    <n v="48270.739125"/>
    <n v="9151.9391250000026"/>
    <n v="0.18959600144718114"/>
  </r>
  <r>
    <n v="399"/>
    <s v="FMCG-2025-012837"/>
    <x v="226"/>
    <x v="1"/>
    <s v="South"/>
    <s v="Hyderabad"/>
    <s v="Rizwan Khan"/>
    <s v="B2C"/>
    <x v="1"/>
    <x v="2"/>
    <x v="3"/>
    <x v="10"/>
    <n v="59"/>
    <n v="126.7"/>
    <n v="4.1399999999999999E-2"/>
    <n v="7475.3"/>
    <n v="973.7"/>
    <n v="4139.8"/>
    <n v="714"/>
    <n v="7165.82258"/>
    <n v="1338.3225799999998"/>
    <n v="0.18676468263884924"/>
  </r>
  <r>
    <n v="400"/>
    <s v="FMCG-2025-012851"/>
    <x v="250"/>
    <x v="9"/>
    <s v="West"/>
    <s v="Mumbai"/>
    <s v="Aarav Malhotra"/>
    <s v="B2C"/>
    <x v="1"/>
    <x v="3"/>
    <x v="0"/>
    <x v="0"/>
    <n v="13"/>
    <n v="177.8"/>
    <n v="9.2799999999999994E-2"/>
    <n v="2311.4"/>
    <n v="296.45000000000005"/>
    <n v="1068.2"/>
    <n v="219.45"/>
    <n v="2096.9020800000003"/>
    <n v="512.80208000000016"/>
    <n v="0.24455223011653462"/>
  </r>
  <r>
    <n v="401"/>
    <s v="FMCG-2025-012854"/>
    <x v="0"/>
    <x v="0"/>
    <s v="West"/>
    <s v="Mumbai"/>
    <s v="Anika Verma"/>
    <s v="B2B"/>
    <x v="0"/>
    <x v="5"/>
    <x v="3"/>
    <x v="26"/>
    <n v="290"/>
    <n v="264.95"/>
    <n v="0.2311"/>
    <n v="76835.5"/>
    <n v="9403.8000000000011"/>
    <n v="43737.4"/>
    <n v="4772.95"/>
    <n v="59078.815950000004"/>
    <n v="1164.6659500000042"/>
    <n v="1.9713765945913547E-2"/>
  </r>
  <r>
    <n v="402"/>
    <s v="FMCG-2025-012870"/>
    <x v="186"/>
    <x v="3"/>
    <s v="South"/>
    <s v="Hyderabad"/>
    <s v="Nikhil Bhat"/>
    <s v="B2C"/>
    <x v="0"/>
    <x v="1"/>
    <x v="1"/>
    <x v="4"/>
    <n v="204"/>
    <n v="162.75"/>
    <n v="0.14130000000000001"/>
    <n v="33201"/>
    <n v="4363.0999999999995"/>
    <n v="16190.65"/>
    <n v="1941.45"/>
    <n v="28509.698700000001"/>
    <n v="6014.498700000001"/>
    <n v="0.21096325020088694"/>
  </r>
  <r>
    <n v="403"/>
    <s v="FMCG-2025-012915"/>
    <x v="251"/>
    <x v="4"/>
    <s v="West"/>
    <s v="Mumbai"/>
    <s v="Aarav Malhotra"/>
    <s v="B2C"/>
    <x v="1"/>
    <x v="2"/>
    <x v="3"/>
    <x v="5"/>
    <n v="103"/>
    <n v="156.1"/>
    <n v="4.6500000000000007E-2"/>
    <n v="16078.3"/>
    <n v="2594.5499999999997"/>
    <n v="10270.75"/>
    <n v="1716.3999999999999"/>
    <n v="15330.65905"/>
    <n v="748.95905000000084"/>
    <n v="4.8853675993792374E-2"/>
  </r>
  <r>
    <n v="404"/>
    <s v="FMCG-2025-012955"/>
    <x v="215"/>
    <x v="2"/>
    <s v="South"/>
    <s v="Hyderabad"/>
    <s v="Diya Kapoor"/>
    <s v="B2B"/>
    <x v="0"/>
    <x v="6"/>
    <x v="2"/>
    <x v="18"/>
    <n v="81"/>
    <n v="147.35"/>
    <n v="0.1709"/>
    <n v="11935.35"/>
    <n v="1545.6"/>
    <n v="5039.2999999999993"/>
    <n v="866.25"/>
    <n v="9895.598684999999"/>
    <n v="2444.4486849999998"/>
    <n v="0.24702382976639478"/>
  </r>
  <r>
    <n v="405"/>
    <s v="FMCG-2025-013106"/>
    <x v="252"/>
    <x v="0"/>
    <s v="West"/>
    <s v="Mumbai"/>
    <s v="Farah Siddiqui"/>
    <s v="B2B"/>
    <x v="2"/>
    <x v="2"/>
    <x v="4"/>
    <x v="7"/>
    <n v="331"/>
    <n v="85.399999999999991"/>
    <n v="0.12789999999999999"/>
    <n v="28267.399999999998"/>
    <n v="1856.05"/>
    <n v="14722.75"/>
    <n v="1338.4"/>
    <n v="24651.999539999997"/>
    <n v="6734.7995399999954"/>
    <n v="0.27319485906496965"/>
  </r>
  <r>
    <n v="406"/>
    <s v="FMCG-2025-013140"/>
    <x v="233"/>
    <x v="9"/>
    <s v="South"/>
    <s v="Hyderabad"/>
    <s v="Farah Siddiqui"/>
    <s v="B2B"/>
    <x v="2"/>
    <x v="1"/>
    <x v="1"/>
    <x v="17"/>
    <n v="240"/>
    <n v="165.9"/>
    <n v="0.14410000000000001"/>
    <n v="39816"/>
    <n v="3558.8"/>
    <n v="19750.149999999998"/>
    <n v="1752.45"/>
    <n v="34078.5144"/>
    <n v="9017.1144000000022"/>
    <n v="0.26459822438738712"/>
  </r>
  <r>
    <n v="407"/>
    <s v="FMCG-2025-013156"/>
    <x v="29"/>
    <x v="6"/>
    <s v="North"/>
    <s v="Delhi"/>
    <s v="Diya Kapoor"/>
    <s v="B2B"/>
    <x v="2"/>
    <x v="2"/>
    <x v="2"/>
    <x v="16"/>
    <n v="492"/>
    <n v="285.95"/>
    <n v="0.10249999999999999"/>
    <n v="140687.4"/>
    <n v="6532.05"/>
    <n v="69962.55"/>
    <n v="7799.75"/>
    <n v="126266.94149999999"/>
    <n v="41972.59149999998"/>
    <n v="0.33241156395635024"/>
  </r>
  <r>
    <n v="408"/>
    <s v="FMCG-2025-013168"/>
    <x v="253"/>
    <x v="5"/>
    <s v="South"/>
    <s v="Bengaluru"/>
    <s v="Diya Kapoor"/>
    <s v="B2C"/>
    <x v="2"/>
    <x v="2"/>
    <x v="0"/>
    <x v="11"/>
    <n v="296"/>
    <n v="187.60000000000002"/>
    <n v="9.5100000000000004E-2"/>
    <n v="55529.600000000006"/>
    <n v="2403.1"/>
    <n v="29260"/>
    <n v="2829.75"/>
    <n v="50248.735040000007"/>
    <n v="15755.885040000006"/>
    <n v="0.31355784434091111"/>
  </r>
  <r>
    <n v="409"/>
    <s v="FMCG-2025-013246"/>
    <x v="48"/>
    <x v="7"/>
    <s v="North"/>
    <s v="Delhi"/>
    <s v="Rohan Iyer"/>
    <s v="B2C"/>
    <x v="1"/>
    <x v="4"/>
    <x v="3"/>
    <x v="8"/>
    <n v="118"/>
    <n v="77.7"/>
    <n v="9.820000000000001E-2"/>
    <n v="9168.6"/>
    <n v="1772.4"/>
    <n v="6076.7"/>
    <n v="954.80000000000007"/>
    <n v="8268.2434799999992"/>
    <n v="-535.65652000000091"/>
    <n v="-6.4784802394329224E-2"/>
  </r>
  <r>
    <n v="410"/>
    <s v="FMCG-2025-013278"/>
    <x v="254"/>
    <x v="10"/>
    <s v="West"/>
    <s v="Mumbai"/>
    <s v="Rizwan Khan"/>
    <s v="B2C"/>
    <x v="1"/>
    <x v="2"/>
    <x v="4"/>
    <x v="27"/>
    <n v="17"/>
    <n v="110.60000000000001"/>
    <n v="8.8699999999999987E-2"/>
    <n v="1880.2"/>
    <n v="299.95"/>
    <n v="940.1"/>
    <n v="175.35"/>
    <n v="1713.42626"/>
    <n v="298.02626000000004"/>
    <n v="0.17393585411723528"/>
  </r>
  <r>
    <n v="411"/>
    <s v="FMCG-2025-013323"/>
    <x v="255"/>
    <x v="3"/>
    <s v="North"/>
    <s v="Delhi"/>
    <s v="Meera Nair"/>
    <s v="B2B"/>
    <x v="0"/>
    <x v="2"/>
    <x v="1"/>
    <x v="17"/>
    <n v="137"/>
    <n v="165.9"/>
    <n v="0.12300000000000001"/>
    <n v="22728.3"/>
    <n v="1676.15"/>
    <n v="12266.45"/>
    <n v="1512.3500000000001"/>
    <n v="19932.719099999998"/>
    <n v="4477.7690999999995"/>
    <n v="0.22464416809044382"/>
  </r>
  <r>
    <n v="412"/>
    <s v="FMCG-2025-013325"/>
    <x v="124"/>
    <x v="6"/>
    <s v="South"/>
    <s v="Bengaluru"/>
    <s v="Farah Siddiqui"/>
    <s v="B2B"/>
    <x v="2"/>
    <x v="2"/>
    <x v="1"/>
    <x v="1"/>
    <n v="533"/>
    <n v="73.849999999999994"/>
    <n v="0.1643"/>
    <n v="39362.049999999996"/>
    <n v="1760.5"/>
    <n v="15789.55"/>
    <n v="2002.3500000000001"/>
    <n v="32894.865184999995"/>
    <n v="13342.465184999997"/>
    <n v="0.40560935908878992"/>
  </r>
  <r>
    <n v="413"/>
    <s v="FMCG-2025-013388"/>
    <x v="256"/>
    <x v="8"/>
    <s v="West"/>
    <s v="Mumbai"/>
    <s v="Diya Kapoor"/>
    <s v="B2C"/>
    <x v="1"/>
    <x v="2"/>
    <x v="3"/>
    <x v="26"/>
    <n v="60"/>
    <n v="277.55"/>
    <n v="8.4499999999999992E-2"/>
    <n v="16653"/>
    <n v="1842.75"/>
    <n v="10447.5"/>
    <n v="1540"/>
    <n v="15245.8215"/>
    <n v="1415.5715"/>
    <n v="9.2849801501349069E-2"/>
  </r>
  <r>
    <n v="414"/>
    <s v="FMCG-2025-013390"/>
    <x v="239"/>
    <x v="1"/>
    <s v="North"/>
    <s v="Delhi"/>
    <s v="Nikhil Bhat"/>
    <s v="B2B"/>
    <x v="2"/>
    <x v="3"/>
    <x v="1"/>
    <x v="20"/>
    <n v="243"/>
    <n v="126.35"/>
    <n v="0.16789999999999999"/>
    <n v="30703.05"/>
    <n v="2431.1"/>
    <n v="12988.5"/>
    <n v="1402.8"/>
    <n v="25548.007905000002"/>
    <n v="8725.6079050000026"/>
    <n v="0.34153770178270193"/>
  </r>
  <r>
    <n v="415"/>
    <s v="FMCG-2025-013435"/>
    <x v="257"/>
    <x v="9"/>
    <s v="South"/>
    <s v="Hyderabad"/>
    <s v="Diya Kapoor"/>
    <s v="B2B"/>
    <x v="0"/>
    <x v="2"/>
    <x v="3"/>
    <x v="8"/>
    <n v="102"/>
    <n v="80.150000000000006"/>
    <n v="7.4099999999999999E-2"/>
    <n v="8175.3"/>
    <n v="949.9"/>
    <n v="5615.05"/>
    <n v="599.20000000000005"/>
    <n v="7569.5102699999998"/>
    <n v="405.36026999999979"/>
    <n v="5.3551716761195411E-2"/>
  </r>
  <r>
    <n v="416"/>
    <s v="FMCG-2025-013522"/>
    <x v="205"/>
    <x v="10"/>
    <s v="West"/>
    <s v="Mumbai"/>
    <s v="Meera Nair"/>
    <s v="B2C"/>
    <x v="1"/>
    <x v="0"/>
    <x v="2"/>
    <x v="22"/>
    <n v="39"/>
    <n v="138.95000000000002"/>
    <n v="0.10619999999999999"/>
    <n v="5419.0500000000011"/>
    <n v="738.15"/>
    <n v="2744.35"/>
    <n v="577.5"/>
    <n v="4843.5468900000014"/>
    <n v="783.54689000000155"/>
    <n v="0.16177130268269196"/>
  </r>
  <r>
    <n v="417"/>
    <s v="FMCG-2025-013531"/>
    <x v="11"/>
    <x v="1"/>
    <s v="South"/>
    <s v="Bengaluru"/>
    <s v="Rizwan Khan"/>
    <s v="B2C"/>
    <x v="0"/>
    <x v="2"/>
    <x v="4"/>
    <x v="7"/>
    <n v="198"/>
    <n v="88.55"/>
    <n v="3.4200000000000001E-2"/>
    <n v="17532.899999999998"/>
    <n v="1755.95"/>
    <n v="10043.599999999999"/>
    <n v="1179.5"/>
    <n v="16933.274819999999"/>
    <n v="3954.2248200000004"/>
    <n v="0.23351802070380623"/>
  </r>
  <r>
    <n v="418"/>
    <s v="FMCG-2025-013560"/>
    <x v="258"/>
    <x v="6"/>
    <s v="North"/>
    <s v="Delhi"/>
    <s v="Meera Nair"/>
    <s v="B2B"/>
    <x v="3"/>
    <x v="2"/>
    <x v="2"/>
    <x v="18"/>
    <n v="530"/>
    <n v="157.5"/>
    <n v="0.13400000000000001"/>
    <n v="83475"/>
    <n v="2429.35"/>
    <n v="39574.85"/>
    <n v="4212.6000000000004"/>
    <n v="72289.350000000006"/>
    <n v="26072.550000000003"/>
    <n v="0.3606693102095952"/>
  </r>
  <r>
    <n v="419"/>
    <s v="FMCG-2025-013636"/>
    <x v="98"/>
    <x v="10"/>
    <s v="West"/>
    <s v="Mumbai"/>
    <s v="Diya Kapoor"/>
    <s v="B2B"/>
    <x v="0"/>
    <x v="2"/>
    <x v="3"/>
    <x v="10"/>
    <n v="309"/>
    <n v="115.15"/>
    <n v="6.9800000000000001E-2"/>
    <n v="35581.35"/>
    <n v="3140.55"/>
    <n v="21047.600000000002"/>
    <n v="2855.2999999999997"/>
    <n v="33097.771769999999"/>
    <n v="6054.3217699999977"/>
    <n v="0.18292233725194962"/>
  </r>
  <r>
    <n v="420"/>
    <s v="FMCG-2025-013657"/>
    <x v="259"/>
    <x v="8"/>
    <s v="North"/>
    <s v="Delhi"/>
    <s v="Rohan Iyer"/>
    <s v="B2C"/>
    <x v="0"/>
    <x v="5"/>
    <x v="4"/>
    <x v="15"/>
    <n v="29"/>
    <n v="72.449999999999989"/>
    <n v="0.1593"/>
    <n v="2101.0499999999997"/>
    <n v="284.90000000000003"/>
    <n v="1005.9"/>
    <n v="139.30000000000001"/>
    <n v="1766.3527349999997"/>
    <n v="336.25273499999975"/>
    <n v="0.19036556421444317"/>
  </r>
  <r>
    <n v="421"/>
    <s v="FMCG-2025-013678"/>
    <x v="241"/>
    <x v="4"/>
    <s v="South"/>
    <s v="Bengaluru"/>
    <s v="Rohan Iyer"/>
    <s v="B2C"/>
    <x v="1"/>
    <x v="2"/>
    <x v="3"/>
    <x v="5"/>
    <n v="85"/>
    <n v="146.65"/>
    <n v="4.4299999999999999E-2"/>
    <n v="12465.25"/>
    <n v="1673"/>
    <n v="8360.7999999999993"/>
    <n v="1223.6000000000001"/>
    <n v="11913.039424999999"/>
    <n v="655.63942499999939"/>
    <n v="5.5035444911238462E-2"/>
  </r>
  <r>
    <n v="422"/>
    <s v="FMCG-2025-013688"/>
    <x v="68"/>
    <x v="10"/>
    <s v="South"/>
    <s v="Bengaluru"/>
    <s v="Nikhil Bhat"/>
    <s v="B2B"/>
    <x v="2"/>
    <x v="0"/>
    <x v="2"/>
    <x v="18"/>
    <n v="96"/>
    <n v="151.20000000000002"/>
    <n v="0.15869999999999998"/>
    <n v="14515.2"/>
    <n v="778.4"/>
    <n v="6279.3499999999995"/>
    <n v="829.5"/>
    <n v="12211.637760000001"/>
    <n v="4324.3877600000023"/>
    <n v="0.35412021261921234"/>
  </r>
  <r>
    <n v="423"/>
    <s v="FMCG-2025-013720"/>
    <x v="26"/>
    <x v="5"/>
    <s v="South"/>
    <s v="Bengaluru"/>
    <s v="Meera Nair"/>
    <s v="B2B"/>
    <x v="3"/>
    <x v="2"/>
    <x v="3"/>
    <x v="8"/>
    <n v="873"/>
    <n v="81.899999999999991"/>
    <n v="0.1714"/>
    <n v="71498.7"/>
    <n v="3801.35"/>
    <n v="42449.75"/>
    <n v="3242.4"/>
    <n v="59243.822820000001"/>
    <n v="9750.3228199999994"/>
    <n v="0.16457956890500333"/>
  </r>
  <r>
    <n v="424"/>
    <s v="FMCG-2025-013751"/>
    <x v="78"/>
    <x v="4"/>
    <s v="North"/>
    <s v="Delhi"/>
    <s v="Aarav Malhotra"/>
    <s v="B2C"/>
    <x v="0"/>
    <x v="0"/>
    <x v="1"/>
    <x v="20"/>
    <n v="60"/>
    <n v="141.75"/>
    <n v="0.1381"/>
    <n v="8505"/>
    <n v="750.05"/>
    <n v="4160.8"/>
    <n v="565.6"/>
    <n v="7330.4594999999999"/>
    <n v="1854.0094999999994"/>
    <n v="0.25291859262028521"/>
  </r>
  <r>
    <n v="425"/>
    <s v="FMCG-2025-013772"/>
    <x v="260"/>
    <x v="4"/>
    <s v="North"/>
    <s v="Delhi"/>
    <s v="Farah Siddiqui"/>
    <s v="B2C"/>
    <x v="1"/>
    <x v="4"/>
    <x v="3"/>
    <x v="10"/>
    <n v="56"/>
    <n v="112.7"/>
    <n v="0.1114"/>
    <n v="6311.2"/>
    <n v="1050.3500000000001"/>
    <n v="3570.7"/>
    <n v="669.9"/>
    <n v="5608.1323200000006"/>
    <n v="317.18232000000103"/>
    <n v="5.6557567101056021E-2"/>
  </r>
  <r>
    <n v="426"/>
    <s v="FMCG-2025-013791"/>
    <x v="41"/>
    <x v="11"/>
    <s v="North"/>
    <s v="Delhi"/>
    <s v="Nikhil Bhat"/>
    <s v="B2C"/>
    <x v="0"/>
    <x v="2"/>
    <x v="2"/>
    <x v="22"/>
    <n v="84"/>
    <n v="139.30000000000001"/>
    <n v="6.7099999999999993E-2"/>
    <n v="11701.2"/>
    <n v="999.59999999999991"/>
    <n v="5871.9500000000007"/>
    <n v="795.55000000000007"/>
    <n v="10916.049480000001"/>
    <n v="3248.9494800000016"/>
    <n v="0.29763051971801807"/>
  </r>
  <r>
    <n v="427"/>
    <s v="FMCG-2025-013802"/>
    <x v="37"/>
    <x v="4"/>
    <s v="North"/>
    <s v="Delhi"/>
    <s v="Nikhil Bhat"/>
    <s v="B2C"/>
    <x v="1"/>
    <x v="1"/>
    <x v="4"/>
    <x v="14"/>
    <n v="29"/>
    <n v="112.7"/>
    <n v="8.5099999999999995E-2"/>
    <n v="3268.3"/>
    <n v="451.5"/>
    <n v="1839.25"/>
    <n v="312.55"/>
    <n v="2990.1676700000003"/>
    <n v="386.86767000000009"/>
    <n v="0.12937992537388382"/>
  </r>
  <r>
    <n v="428"/>
    <s v="FMCG-2025-013803"/>
    <x v="95"/>
    <x v="3"/>
    <s v="North"/>
    <s v="Delhi"/>
    <s v="Aarav Malhotra"/>
    <s v="B2B"/>
    <x v="2"/>
    <x v="0"/>
    <x v="2"/>
    <x v="19"/>
    <n v="304"/>
    <n v="94.149999999999991"/>
    <n v="0.20670000000000002"/>
    <n v="28621.599999999999"/>
    <n v="1242.5"/>
    <n v="13775.3"/>
    <n v="1671.25"/>
    <n v="22705.51528"/>
    <n v="6016.4652800000003"/>
    <n v="0.26497814323111019"/>
  </r>
  <r>
    <n v="429"/>
    <s v="FMCG-2025-013932"/>
    <x v="261"/>
    <x v="4"/>
    <s v="South"/>
    <s v="Bengaluru"/>
    <s v="Nikhil Bhat"/>
    <s v="B2B"/>
    <x v="2"/>
    <x v="0"/>
    <x v="2"/>
    <x v="16"/>
    <n v="463"/>
    <n v="261.10000000000002"/>
    <n v="0.12210000000000001"/>
    <n v="120889.30000000002"/>
    <n v="6479.2"/>
    <n v="55314.350000000006"/>
    <n v="6828.5"/>
    <n v="106128.71647000001"/>
    <n v="37506.666470000011"/>
    <n v="0.35340733137578484"/>
  </r>
  <r>
    <n v="430"/>
    <s v="FMCG-2025-013933"/>
    <x v="64"/>
    <x v="1"/>
    <s v="West"/>
    <s v="Mumbai"/>
    <s v="Aarav Malhotra"/>
    <s v="B2C"/>
    <x v="1"/>
    <x v="0"/>
    <x v="0"/>
    <x v="6"/>
    <n v="42"/>
    <n v="93.800000000000011"/>
    <n v="7.3399999999999993E-2"/>
    <n v="3939.6000000000004"/>
    <n v="577.15"/>
    <n v="1951.6"/>
    <n v="330.75"/>
    <n v="3650.4333600000004"/>
    <n v="790.93336000000056"/>
    <n v="0.21666834646722616"/>
  </r>
  <r>
    <n v="431"/>
    <s v="FMCG-2025-013964"/>
    <x v="262"/>
    <x v="11"/>
    <s v="South"/>
    <s v="Hyderabad"/>
    <s v="Rizwan Khan"/>
    <s v="B2C"/>
    <x v="0"/>
    <x v="2"/>
    <x v="0"/>
    <x v="11"/>
    <n v="47"/>
    <n v="188.64999999999998"/>
    <n v="5.5300000000000002E-2"/>
    <n v="8866.5499999999993"/>
    <n v="780.84999999999991"/>
    <n v="4625.25"/>
    <n v="568.75"/>
    <n v="8376.2297849999995"/>
    <n v="2401.3797849999996"/>
    <n v="0.28668981709412356"/>
  </r>
  <r>
    <n v="432"/>
    <s v="FMCG-2025-013969"/>
    <x v="159"/>
    <x v="0"/>
    <s v="South"/>
    <s v="Hyderabad"/>
    <s v="Nikhil Bhat"/>
    <s v="B2C"/>
    <x v="1"/>
    <x v="1"/>
    <x v="0"/>
    <x v="11"/>
    <n v="43"/>
    <n v="200.9"/>
    <n v="0.13070000000000001"/>
    <n v="8638.7000000000007"/>
    <n v="1059.45"/>
    <n v="4422.6000000000004"/>
    <n v="672"/>
    <n v="7509.6219100000008"/>
    <n v="1355.5719100000003"/>
    <n v="0.18051133948499948"/>
  </r>
  <r>
    <n v="433"/>
    <s v="FMCG-2025-013988"/>
    <x v="255"/>
    <x v="3"/>
    <s v="South"/>
    <s v="Hyderabad"/>
    <s v="Meera Nair"/>
    <s v="B2C"/>
    <x v="0"/>
    <x v="4"/>
    <x v="2"/>
    <x v="22"/>
    <n v="29"/>
    <n v="143.15"/>
    <n v="0.15789999999999998"/>
    <n v="4151.3500000000004"/>
    <n v="493.5"/>
    <n v="1926.05"/>
    <n v="252.35"/>
    <n v="3495.8518350000004"/>
    <n v="823.95183500000053"/>
    <n v="0.23569415235242669"/>
  </r>
  <r>
    <n v="434"/>
    <s v="FMCG-2025-013995"/>
    <x v="263"/>
    <x v="2"/>
    <s v="South"/>
    <s v="Bengaluru"/>
    <s v="Rohan Iyer"/>
    <s v="B2C"/>
    <x v="1"/>
    <x v="0"/>
    <x v="3"/>
    <x v="24"/>
    <n v="109"/>
    <n v="83.3"/>
    <n v="7.9500000000000001E-2"/>
    <n v="9079.6999999999989"/>
    <n v="1036.3499999999999"/>
    <n v="6185.9000000000005"/>
    <n v="973"/>
    <n v="8357.8638499999997"/>
    <n v="162.61384999999927"/>
    <n v="1.9456388967140123E-2"/>
  </r>
  <r>
    <n v="435"/>
    <s v="FMCG-2025-014031"/>
    <x v="264"/>
    <x v="7"/>
    <s v="West"/>
    <s v="Mumbai"/>
    <s v="Farah Siddiqui"/>
    <s v="B2B"/>
    <x v="2"/>
    <x v="3"/>
    <x v="2"/>
    <x v="16"/>
    <n v="326"/>
    <n v="279.3"/>
    <n v="0.1726"/>
    <n v="91051.8"/>
    <n v="6174"/>
    <n v="39926.949999999997"/>
    <n v="4763.8500000000004"/>
    <n v="75336.259319999997"/>
    <n v="24471.459319999994"/>
    <n v="0.3248297637934805"/>
  </r>
  <r>
    <n v="436"/>
    <s v="FMCG-2025-014070"/>
    <x v="248"/>
    <x v="9"/>
    <s v="North"/>
    <s v="Delhi"/>
    <s v="Farah Siddiqui"/>
    <s v="B2C"/>
    <x v="1"/>
    <x v="5"/>
    <x v="1"/>
    <x v="17"/>
    <n v="17"/>
    <n v="177.8"/>
    <n v="0.1244"/>
    <n v="3022.6000000000004"/>
    <n v="550.55000000000007"/>
    <n v="1562.0500000000002"/>
    <n v="236.6"/>
    <n v="2646.5885600000006"/>
    <n v="297.38856000000044"/>
    <n v="0.11236675186112055"/>
  </r>
  <r>
    <n v="437"/>
    <s v="FMCG-2025-014071"/>
    <x v="47"/>
    <x v="3"/>
    <s v="South"/>
    <s v="Bengaluru"/>
    <s v="Aarav Malhotra"/>
    <s v="B2B"/>
    <x v="2"/>
    <x v="5"/>
    <x v="0"/>
    <x v="11"/>
    <n v="159"/>
    <n v="206.85"/>
    <n v="0.20250000000000001"/>
    <n v="32889.15"/>
    <n v="3383.1"/>
    <n v="15463"/>
    <n v="1396.15"/>
    <n v="26229.097125"/>
    <n v="5986.8471249999984"/>
    <n v="0.22825212383287471"/>
  </r>
  <r>
    <n v="438"/>
    <s v="FMCG-2025-014125"/>
    <x v="213"/>
    <x v="5"/>
    <s v="West"/>
    <s v="Mumbai"/>
    <s v="Diya Kapoor"/>
    <s v="B2C"/>
    <x v="1"/>
    <x v="2"/>
    <x v="0"/>
    <x v="29"/>
    <n v="52"/>
    <n v="107.44999999999999"/>
    <n v="7.5700000000000003E-2"/>
    <n v="5587.4"/>
    <n v="614.59999999999991"/>
    <n v="2479.0499999999997"/>
    <n v="473.2"/>
    <n v="5164.4338199999993"/>
    <n v="1597.5838199999998"/>
    <n v="0.30934345867946472"/>
  </r>
  <r>
    <n v="439"/>
    <s v="FMCG-2025-014129"/>
    <x v="56"/>
    <x v="0"/>
    <s v="West"/>
    <s v="Mumbai"/>
    <s v="Meera Nair"/>
    <s v="B2C"/>
    <x v="1"/>
    <x v="4"/>
    <x v="0"/>
    <x v="12"/>
    <n v="65"/>
    <n v="80.150000000000006"/>
    <n v="0.12570000000000001"/>
    <n v="5209.75"/>
    <n v="814.1"/>
    <n v="2234.0499999999997"/>
    <n v="462.35"/>
    <n v="4554.8844250000002"/>
    <n v="1044.3844250000006"/>
    <n v="0.22928889683079073"/>
  </r>
  <r>
    <n v="440"/>
    <s v="FMCG-2025-014143"/>
    <x v="265"/>
    <x v="8"/>
    <s v="North"/>
    <s v="Delhi"/>
    <s v="Diya Kapoor"/>
    <s v="B2C"/>
    <x v="3"/>
    <x v="2"/>
    <x v="2"/>
    <x v="18"/>
    <n v="264"/>
    <n v="141.75"/>
    <n v="0.15659999999999999"/>
    <n v="37422"/>
    <n v="1437.1000000000001"/>
    <n v="16700.95"/>
    <n v="1939.7"/>
    <n v="31561.714800000002"/>
    <n v="11483.9648"/>
    <n v="0.36385744161150585"/>
  </r>
  <r>
    <n v="441"/>
    <s v="FMCG-2025-014191"/>
    <x v="36"/>
    <x v="6"/>
    <s v="North"/>
    <s v="Delhi"/>
    <s v="Nikhil Bhat"/>
    <s v="B2B"/>
    <x v="2"/>
    <x v="5"/>
    <x v="1"/>
    <x v="4"/>
    <n v="290"/>
    <n v="165.9"/>
    <n v="0.21899999999999997"/>
    <n v="48111"/>
    <n v="4438"/>
    <n v="21843.850000000002"/>
    <n v="2215.15"/>
    <n v="37574.690999999999"/>
    <n v="9077.6909999999953"/>
    <n v="0.2415905695671588"/>
  </r>
  <r>
    <n v="442"/>
    <s v="FMCG-2025-014219"/>
    <x v="149"/>
    <x v="8"/>
    <s v="South"/>
    <s v="Bengaluru"/>
    <s v="Rizwan Khan"/>
    <s v="B2C"/>
    <x v="0"/>
    <x v="2"/>
    <x v="0"/>
    <x v="23"/>
    <n v="148"/>
    <n v="201.95"/>
    <n v="4.5700000000000005E-2"/>
    <n v="29888.6"/>
    <n v="3056.2"/>
    <n v="16776.2"/>
    <n v="2184.7000000000003"/>
    <n v="28522.690979999999"/>
    <n v="6505.5909799999981"/>
    <n v="0.22808475485576354"/>
  </r>
  <r>
    <n v="443"/>
    <s v="FMCG-2025-014247"/>
    <x v="10"/>
    <x v="7"/>
    <s v="West"/>
    <s v="Mumbai"/>
    <s v="Diya Kapoor"/>
    <s v="B2B"/>
    <x v="2"/>
    <x v="4"/>
    <x v="3"/>
    <x v="10"/>
    <n v="239"/>
    <n v="117.6"/>
    <n v="0.16420000000000001"/>
    <n v="28106.399999999998"/>
    <n v="3703"/>
    <n v="14372.4"/>
    <n v="1531.95"/>
    <n v="23491.329119999999"/>
    <n v="3883.9791199999981"/>
    <n v="0.16533671211873935"/>
  </r>
  <r>
    <n v="444"/>
    <s v="FMCG-2025-014251"/>
    <x v="266"/>
    <x v="5"/>
    <s v="South"/>
    <s v="Bengaluru"/>
    <s v="Rizwan Khan"/>
    <s v="B2C"/>
    <x v="1"/>
    <x v="2"/>
    <x v="0"/>
    <x v="12"/>
    <n v="57"/>
    <n v="74.2"/>
    <n v="4.0300000000000002E-2"/>
    <n v="4229.4000000000005"/>
    <n v="640.5"/>
    <n v="2069.1999999999998"/>
    <n v="390.95"/>
    <n v="4058.9551800000004"/>
    <n v="958.30518000000075"/>
    <n v="0.23609651683810923"/>
  </r>
  <r>
    <n v="445"/>
    <s v="FMCG-2025-014254"/>
    <x v="261"/>
    <x v="4"/>
    <s v="South"/>
    <s v="Bengaluru"/>
    <s v="Rizwan Khan"/>
    <s v="B2B"/>
    <x v="0"/>
    <x v="0"/>
    <x v="0"/>
    <x v="6"/>
    <n v="54"/>
    <n v="85.050000000000011"/>
    <n v="0.1"/>
    <n v="4592.7000000000007"/>
    <n v="339.15"/>
    <n v="2182.25"/>
    <n v="267.39999999999998"/>
    <n v="4133.4300000000012"/>
    <n v="1344.630000000001"/>
    <n v="0.32530610171213753"/>
  </r>
  <r>
    <n v="446"/>
    <s v="FMCG-2025-014281"/>
    <x v="267"/>
    <x v="11"/>
    <s v="North"/>
    <s v="Delhi"/>
    <s v="Farah Siddiqui"/>
    <s v="B2C"/>
    <x v="3"/>
    <x v="2"/>
    <x v="3"/>
    <x v="8"/>
    <n v="344"/>
    <n v="85.050000000000011"/>
    <n v="0.10289999999999999"/>
    <n v="29257.200000000004"/>
    <n v="1496.95"/>
    <n v="18167.099999999999"/>
    <n v="1500.1"/>
    <n v="26246.634120000002"/>
    <n v="5082.4841200000055"/>
    <n v="0.19364327238162471"/>
  </r>
  <r>
    <n v="447"/>
    <s v="FMCG-2025-014285"/>
    <x v="109"/>
    <x v="8"/>
    <s v="South"/>
    <s v="Hyderabad"/>
    <s v="Nikhil Bhat"/>
    <s v="B2B"/>
    <x v="0"/>
    <x v="2"/>
    <x v="2"/>
    <x v="18"/>
    <n v="38"/>
    <n v="145.6"/>
    <n v="0.12039999999999999"/>
    <n v="5532.8"/>
    <n v="420.7"/>
    <n v="2666.65"/>
    <n v="418.95000000000005"/>
    <n v="4866.6508800000001"/>
    <n v="1360.3508800000002"/>
    <n v="0.27952506015800338"/>
  </r>
  <r>
    <n v="448"/>
    <s v="FMCG-2025-014302"/>
    <x v="59"/>
    <x v="0"/>
    <s v="North"/>
    <s v="Delhi"/>
    <s v="Diya Kapoor"/>
    <s v="B2B"/>
    <x v="2"/>
    <x v="2"/>
    <x v="2"/>
    <x v="22"/>
    <n v="596"/>
    <n v="136.5"/>
    <n v="0.10710000000000001"/>
    <n v="81354"/>
    <n v="4505.9000000000005"/>
    <n v="37486.049999999996"/>
    <n v="4444.6499999999996"/>
    <n v="72640.986600000004"/>
    <n v="26204.386600000013"/>
    <n v="0.36073830803393869"/>
  </r>
  <r>
    <n v="449"/>
    <s v="FMCG-2025-014343"/>
    <x v="266"/>
    <x v="5"/>
    <s v="South"/>
    <s v="Hyderabad"/>
    <s v="Rohan Iyer"/>
    <s v="B2B"/>
    <x v="0"/>
    <x v="2"/>
    <x v="1"/>
    <x v="4"/>
    <n v="228"/>
    <n v="181.29999999999998"/>
    <n v="0.11359999999999999"/>
    <n v="41336.399999999994"/>
    <n v="3109.0499999999997"/>
    <n v="20016.149999999998"/>
    <n v="2834.6499999999996"/>
    <n v="36640.584959999993"/>
    <n v="10680.734959999994"/>
    <n v="0.2915001212906399"/>
  </r>
  <r>
    <n v="450"/>
    <s v="FMCG-2025-014367"/>
    <x v="88"/>
    <x v="7"/>
    <s v="West"/>
    <s v="Mumbai"/>
    <s v="Rohan Iyer"/>
    <s v="B2B"/>
    <x v="2"/>
    <x v="4"/>
    <x v="3"/>
    <x v="13"/>
    <n v="177"/>
    <n v="108.14999999999999"/>
    <n v="0.2097"/>
    <n v="19142.55"/>
    <n v="1631"/>
    <n v="8927.1"/>
    <n v="934.15000000000009"/>
    <n v="15128.357264999999"/>
    <n v="3636.1072649999987"/>
    <n v="0.24035043602600953"/>
  </r>
  <r>
    <n v="451"/>
    <s v="FMCG-2025-014393"/>
    <x v="207"/>
    <x v="4"/>
    <s v="South"/>
    <s v="Bengaluru"/>
    <s v="Rizwan Khan"/>
    <s v="B2B"/>
    <x v="0"/>
    <x v="2"/>
    <x v="0"/>
    <x v="11"/>
    <n v="197"/>
    <n v="213.5"/>
    <n v="6.6199999999999995E-2"/>
    <n v="42059.5"/>
    <n v="3276"/>
    <n v="20378.400000000001"/>
    <n v="2726.5"/>
    <n v="39275.161099999998"/>
    <n v="12894.261099999996"/>
    <n v="0.32830574691137288"/>
  </r>
  <r>
    <n v="452"/>
    <s v="FMCG-2025-014406"/>
    <x v="143"/>
    <x v="1"/>
    <s v="South"/>
    <s v="Hyderabad"/>
    <s v="Meera Nair"/>
    <s v="B2B"/>
    <x v="2"/>
    <x v="3"/>
    <x v="4"/>
    <x v="28"/>
    <n v="515"/>
    <n v="67.55"/>
    <n v="0.23499999999999999"/>
    <n v="34788.25"/>
    <n v="2447.5500000000002"/>
    <n v="15941.099999999999"/>
    <n v="1602.6499999999999"/>
    <n v="26613.01125"/>
    <n v="6621.7112499999994"/>
    <n v="0.2488148067047467"/>
  </r>
  <r>
    <n v="453"/>
    <s v="FMCG-2025-014411"/>
    <x v="34"/>
    <x v="2"/>
    <s v="South"/>
    <s v="Hyderabad"/>
    <s v="Diya Kapoor"/>
    <s v="B2C"/>
    <x v="1"/>
    <x v="2"/>
    <x v="0"/>
    <x v="12"/>
    <n v="54"/>
    <n v="83.3"/>
    <n v="7.0400000000000004E-2"/>
    <n v="4498.2"/>
    <n v="1380.75"/>
    <n v="2007.25"/>
    <n v="373.45"/>
    <n v="4181.5267199999998"/>
    <n v="420.07672000000002"/>
    <n v="0.10046013050467846"/>
  </r>
  <r>
    <n v="454"/>
    <s v="FMCG-2025-014501"/>
    <x v="264"/>
    <x v="7"/>
    <s v="West"/>
    <s v="Mumbai"/>
    <s v="Nikhil Bhat"/>
    <s v="B2C"/>
    <x v="1"/>
    <x v="5"/>
    <x v="3"/>
    <x v="8"/>
    <n v="73"/>
    <n v="78.75"/>
    <n v="0.12789999999999999"/>
    <n v="5748.75"/>
    <n v="999.59999999999991"/>
    <n v="3521.35"/>
    <n v="595.35"/>
    <n v="5013.4848750000001"/>
    <n v="-102.81512500000008"/>
    <n v="-2.0507716202095867E-2"/>
  </r>
  <r>
    <n v="455"/>
    <s v="FMCG-2025-014528"/>
    <x v="219"/>
    <x v="9"/>
    <s v="North"/>
    <s v="Delhi"/>
    <s v="Farah Siddiqui"/>
    <s v="B2B"/>
    <x v="2"/>
    <x v="3"/>
    <x v="0"/>
    <x v="6"/>
    <n v="413"/>
    <n v="96.6"/>
    <n v="0.13750000000000001"/>
    <n v="39895.799999999996"/>
    <n v="3588.2"/>
    <n v="16516.850000000002"/>
    <n v="1796.55"/>
    <n v="34410.127499999995"/>
    <n v="12508.527499999993"/>
    <n v="0.36351296576858061"/>
  </r>
  <r>
    <n v="456"/>
    <s v="FMCG-2025-014573"/>
    <x v="64"/>
    <x v="1"/>
    <s v="South"/>
    <s v="Bengaluru"/>
    <s v="Meera Nair"/>
    <s v="B2B"/>
    <x v="2"/>
    <x v="2"/>
    <x v="3"/>
    <x v="13"/>
    <n v="119"/>
    <n v="105.7"/>
    <n v="0.10640000000000001"/>
    <n v="12578.300000000001"/>
    <n v="692.30000000000007"/>
    <n v="6261.15"/>
    <n v="774.2"/>
    <n v="11239.96888"/>
    <n v="3512.3188799999998"/>
    <n v="0.31248475129230069"/>
  </r>
  <r>
    <n v="457"/>
    <s v="FMCG-2025-014626"/>
    <x v="44"/>
    <x v="11"/>
    <s v="South"/>
    <s v="Hyderabad"/>
    <s v="Nikhil Bhat"/>
    <s v="B2C"/>
    <x v="1"/>
    <x v="2"/>
    <x v="0"/>
    <x v="29"/>
    <n v="117"/>
    <n v="110.60000000000001"/>
    <n v="6.2300000000000001E-2"/>
    <n v="12940.2"/>
    <n v="1892.8"/>
    <n v="5824.3499999999995"/>
    <n v="1207.5"/>
    <n v="12134.025540000001"/>
    <n v="3209.3755400000009"/>
    <n v="0.26449388370085802"/>
  </r>
  <r>
    <n v="458"/>
    <s v="FMCG-2025-014629"/>
    <x v="109"/>
    <x v="8"/>
    <s v="South"/>
    <s v="Hyderabad"/>
    <s v="Nikhil Bhat"/>
    <s v="B2C"/>
    <x v="0"/>
    <x v="4"/>
    <x v="0"/>
    <x v="23"/>
    <n v="120"/>
    <n v="203.70000000000002"/>
    <n v="0.20629999999999998"/>
    <n v="24444.000000000004"/>
    <n v="3364.2000000000003"/>
    <n v="11627.7"/>
    <n v="1292.55"/>
    <n v="19401.202800000006"/>
    <n v="3116.7528000000061"/>
    <n v="0.1606474006859"/>
  </r>
  <r>
    <n v="459"/>
    <s v="FMCG-2025-014633"/>
    <x v="103"/>
    <x v="10"/>
    <s v="North"/>
    <s v="Delhi"/>
    <s v="Rizwan Khan"/>
    <s v="B2C"/>
    <x v="1"/>
    <x v="2"/>
    <x v="3"/>
    <x v="24"/>
    <n v="86"/>
    <n v="87.15"/>
    <n v="3.5200000000000002E-2"/>
    <n v="7494.9000000000005"/>
    <n v="1878.45"/>
    <n v="5189.8"/>
    <n v="773.5"/>
    <n v="7231.0795200000002"/>
    <n v="-610.67048"/>
    <n v="-8.4450804103451488E-2"/>
  </r>
  <r>
    <n v="460"/>
    <s v="FMCG-2025-014637"/>
    <x v="115"/>
    <x v="5"/>
    <s v="South"/>
    <s v="Bengaluru"/>
    <s v="Diya Kapoor"/>
    <s v="B2B"/>
    <x v="0"/>
    <x v="5"/>
    <x v="0"/>
    <x v="29"/>
    <n v="183"/>
    <n v="91.7"/>
    <n v="0.18780000000000002"/>
    <n v="16781.100000000002"/>
    <n v="2012.5"/>
    <n v="6542.2"/>
    <n v="909.30000000000007"/>
    <n v="13629.609420000003"/>
    <n v="4165.6094200000034"/>
    <n v="0.30562940518951442"/>
  </r>
  <r>
    <n v="461"/>
    <s v="FMCG-2025-014651"/>
    <x v="263"/>
    <x v="2"/>
    <s v="South"/>
    <s v="Bengaluru"/>
    <s v="Nikhil Bhat"/>
    <s v="B2C"/>
    <x v="1"/>
    <x v="1"/>
    <x v="0"/>
    <x v="12"/>
    <n v="109"/>
    <n v="76.649999999999991"/>
    <n v="0.11699999999999999"/>
    <n v="8354.8499999999985"/>
    <n v="1431.5"/>
    <n v="3664.15"/>
    <n v="750.40000000000009"/>
    <n v="7377.3325499999992"/>
    <n v="1531.2825499999994"/>
    <n v="0.20756588368786488"/>
  </r>
  <r>
    <n v="462"/>
    <s v="FMCG-2025-014698"/>
    <x v="146"/>
    <x v="8"/>
    <s v="South"/>
    <s v="Hyderabad"/>
    <s v="Meera Nair"/>
    <s v="B2B"/>
    <x v="2"/>
    <x v="3"/>
    <x v="1"/>
    <x v="20"/>
    <n v="159"/>
    <n v="115.15"/>
    <n v="0.1628"/>
    <n v="18308.850000000002"/>
    <n v="1647.8"/>
    <n v="7533.75"/>
    <n v="880.6"/>
    <n v="15328.169220000002"/>
    <n v="5266.019220000001"/>
    <n v="0.3435517408777668"/>
  </r>
  <r>
    <n v="463"/>
    <s v="FMCG-2025-014773"/>
    <x v="268"/>
    <x v="11"/>
    <s v="West"/>
    <s v="Mumbai"/>
    <s v="Nikhil Bhat"/>
    <s v="B2B"/>
    <x v="0"/>
    <x v="2"/>
    <x v="0"/>
    <x v="11"/>
    <n v="142"/>
    <n v="191.1"/>
    <n v="9.4499999999999987E-2"/>
    <n v="27136.2"/>
    <n v="2349.2000000000003"/>
    <n v="14211.400000000001"/>
    <n v="1662.15"/>
    <n v="24571.829099999999"/>
    <n v="6349.0790999999954"/>
    <n v="0.25838854218630375"/>
  </r>
  <r>
    <n v="464"/>
    <s v="FMCG-2025-014786"/>
    <x v="80"/>
    <x v="2"/>
    <s v="South"/>
    <s v="Bengaluru"/>
    <s v="Aarav Malhotra"/>
    <s v="B2C"/>
    <x v="0"/>
    <x v="2"/>
    <x v="4"/>
    <x v="14"/>
    <n v="235"/>
    <n v="98"/>
    <n v="5.2300000000000006E-2"/>
    <n v="23030"/>
    <n v="2056.9500000000003"/>
    <n v="12817.349999999999"/>
    <n v="1402.1000000000001"/>
    <n v="21825.530999999999"/>
    <n v="5549.1310000000012"/>
    <n v="0.25424953005725276"/>
  </r>
  <r>
    <n v="465"/>
    <s v="FMCG-2025-014808"/>
    <x v="269"/>
    <x v="4"/>
    <s v="North"/>
    <s v="Delhi"/>
    <s v="Farah Siddiqui"/>
    <s v="B2C"/>
    <x v="1"/>
    <x v="3"/>
    <x v="1"/>
    <x v="20"/>
    <n v="94"/>
    <n v="129.15"/>
    <n v="8.5500000000000007E-2"/>
    <n v="12140.1"/>
    <n v="1745.8000000000002"/>
    <n v="5466.65"/>
    <n v="1188.25"/>
    <n v="11102.121450000001"/>
    <n v="2701.4214500000007"/>
    <n v="0.2433247971719856"/>
  </r>
  <r>
    <n v="466"/>
    <s v="FMCG-2025-014862"/>
    <x v="206"/>
    <x v="3"/>
    <s v="North"/>
    <s v="Delhi"/>
    <s v="Farah Siddiqui"/>
    <s v="B2C"/>
    <x v="1"/>
    <x v="1"/>
    <x v="3"/>
    <x v="5"/>
    <n v="34"/>
    <n v="143.85000000000002"/>
    <n v="0.1444"/>
    <n v="4890.9000000000005"/>
    <n v="852.25"/>
    <n v="2770.9500000000003"/>
    <n v="435.75"/>
    <n v="4184.6540400000004"/>
    <n v="125.70404000000008"/>
    <n v="3.0039290894403319E-2"/>
  </r>
  <r>
    <n v="467"/>
    <s v="FMCG-2025-014869"/>
    <x v="196"/>
    <x v="11"/>
    <s v="West"/>
    <s v="Mumbai"/>
    <s v="Rohan Iyer"/>
    <s v="B2C"/>
    <x v="1"/>
    <x v="2"/>
    <x v="4"/>
    <x v="27"/>
    <n v="62"/>
    <n v="103.6"/>
    <n v="4.9200000000000001E-2"/>
    <n v="6423.2"/>
    <n v="815.15"/>
    <n v="3587.1499999999996"/>
    <n v="622.65"/>
    <n v="6107.1785599999994"/>
    <n v="1082.22856"/>
    <n v="0.17720597971184915"/>
  </r>
  <r>
    <n v="468"/>
    <s v="FMCG-2025-014890"/>
    <x v="262"/>
    <x v="11"/>
    <s v="South"/>
    <s v="Bengaluru"/>
    <s v="Rohan Iyer"/>
    <s v="B2B"/>
    <x v="3"/>
    <x v="0"/>
    <x v="4"/>
    <x v="9"/>
    <n v="416"/>
    <n v="126.35"/>
    <n v="0.22519999999999998"/>
    <n v="52561.599999999999"/>
    <n v="1988.3500000000001"/>
    <n v="26375.300000000003"/>
    <n v="1908.55"/>
    <n v="40724.727680000004"/>
    <n v="10452.527679999997"/>
    <n v="0.25666292386611228"/>
  </r>
  <r>
    <n v="469"/>
    <s v="FMCG-2025-014893"/>
    <x v="270"/>
    <x v="4"/>
    <s v="South"/>
    <s v="Hyderabad"/>
    <s v="Aarav Malhotra"/>
    <s v="B2B"/>
    <x v="2"/>
    <x v="5"/>
    <x v="0"/>
    <x v="12"/>
    <n v="430"/>
    <n v="79.8"/>
    <n v="0.20199999999999999"/>
    <n v="34314"/>
    <n v="3447.1499999999996"/>
    <n v="13143.55"/>
    <n v="1572.55"/>
    <n v="27382.572"/>
    <n v="9219.3220000000019"/>
    <n v="0.33668575764175851"/>
  </r>
  <r>
    <n v="470"/>
    <s v="FMCG-2025-014965"/>
    <x v="271"/>
    <x v="10"/>
    <s v="North"/>
    <s v="Delhi"/>
    <s v="Meera Nair"/>
    <s v="B2C"/>
    <x v="1"/>
    <x v="1"/>
    <x v="0"/>
    <x v="23"/>
    <n v="23"/>
    <n v="222.60000000000002"/>
    <n v="0.1198"/>
    <n v="5119.8"/>
    <n v="620.55000000000007"/>
    <n v="2723.7"/>
    <n v="496.65"/>
    <n v="4506.4479600000004"/>
    <n v="665.54796000000044"/>
    <n v="0.14768792758898305"/>
  </r>
  <r>
    <n v="471"/>
    <s v="FMCG-2025-014990"/>
    <x v="255"/>
    <x v="3"/>
    <s v="South"/>
    <s v="Bengaluru"/>
    <s v="Farah Siddiqui"/>
    <s v="B2B"/>
    <x v="0"/>
    <x v="4"/>
    <x v="0"/>
    <x v="23"/>
    <n v="259"/>
    <n v="191.45"/>
    <n v="0.15789999999999998"/>
    <n v="49585.549999999996"/>
    <n v="11596.55"/>
    <n v="23591.05"/>
    <n v="2919"/>
    <n v="41755.991654999998"/>
    <n v="3649.3916549999994"/>
    <n v="8.7398035835247842E-2"/>
  </r>
  <r>
    <n v="472"/>
    <s v="FMCG-2025-014995"/>
    <x v="168"/>
    <x v="1"/>
    <s v="North"/>
    <s v="Delhi"/>
    <s v="Anika Verma"/>
    <s v="B2C"/>
    <x v="1"/>
    <x v="1"/>
    <x v="4"/>
    <x v="9"/>
    <n v="59"/>
    <n v="130.20000000000002"/>
    <n v="9.5500000000000002E-2"/>
    <n v="7681.8000000000011"/>
    <n v="1193.5"/>
    <n v="4011"/>
    <n v="614.59999999999991"/>
    <n v="6948.1881000000012"/>
    <n v="1129.0881000000008"/>
    <n v="0.16250108427548193"/>
  </r>
  <r>
    <n v="473"/>
    <s v="FMCG-2025-015082"/>
    <x v="80"/>
    <x v="2"/>
    <s v="South"/>
    <s v="Bengaluru"/>
    <s v="Nikhil Bhat"/>
    <s v="B2B"/>
    <x v="0"/>
    <x v="1"/>
    <x v="2"/>
    <x v="2"/>
    <n v="108"/>
    <n v="142.80000000000001"/>
    <n v="0.16109999999999999"/>
    <n v="15422.400000000001"/>
    <n v="1528.1"/>
    <n v="6346.55"/>
    <n v="1178.45"/>
    <n v="12937.851360000001"/>
    <n v="3884.7513599999997"/>
    <n v="0.30026248191492588"/>
  </r>
  <r>
    <n v="474"/>
    <s v="FMCG-2025-015116"/>
    <x v="13"/>
    <x v="0"/>
    <s v="South"/>
    <s v="Hyderabad"/>
    <s v="Rizwan Khan"/>
    <s v="B2B"/>
    <x v="0"/>
    <x v="2"/>
    <x v="1"/>
    <x v="1"/>
    <n v="108"/>
    <n v="84.350000000000009"/>
    <n v="9.8800000000000013E-2"/>
    <n v="9109.8000000000011"/>
    <n v="690.9"/>
    <n v="4050.2"/>
    <n v="601.65000000000009"/>
    <n v="8209.751760000001"/>
    <n v="2867.0017600000015"/>
    <n v="0.34921905604609915"/>
  </r>
  <r>
    <n v="475"/>
    <s v="FMCG-2025-015181"/>
    <x v="96"/>
    <x v="3"/>
    <s v="South"/>
    <s v="Bengaluru"/>
    <s v="Rizwan Khan"/>
    <s v="B2C"/>
    <x v="1"/>
    <x v="2"/>
    <x v="0"/>
    <x v="29"/>
    <n v="65"/>
    <n v="94.85"/>
    <n v="7.2900000000000006E-2"/>
    <n v="6165.25"/>
    <n v="803.25"/>
    <n v="2743.65"/>
    <n v="573.65"/>
    <n v="5715.8032750000002"/>
    <n v="1595.2532750000005"/>
    <n v="0.27909520293978285"/>
  </r>
  <r>
    <n v="476"/>
    <s v="FMCG-2025-015192"/>
    <x v="1"/>
    <x v="1"/>
    <s v="North"/>
    <s v="Delhi"/>
    <s v="Nikhil Bhat"/>
    <s v="B2C"/>
    <x v="1"/>
    <x v="3"/>
    <x v="1"/>
    <x v="4"/>
    <n v="102"/>
    <n v="195.3"/>
    <n v="0.10980000000000001"/>
    <n v="19920.600000000002"/>
    <n v="2945.6"/>
    <n v="10108.699999999999"/>
    <n v="1627.85"/>
    <n v="17733.318120000004"/>
    <n v="3051.1681200000044"/>
    <n v="0.17205850023966093"/>
  </r>
  <r>
    <n v="477"/>
    <s v="FMCG-2025-015193"/>
    <x v="272"/>
    <x v="5"/>
    <s v="South"/>
    <s v="Hyderabad"/>
    <s v="Aarav Malhotra"/>
    <s v="B2B"/>
    <x v="2"/>
    <x v="2"/>
    <x v="1"/>
    <x v="17"/>
    <n v="414"/>
    <n v="167.65"/>
    <n v="7.690000000000001E-2"/>
    <n v="69407.100000000006"/>
    <n v="3385.2"/>
    <n v="35131.25"/>
    <n v="3433.85"/>
    <n v="64069.694010000007"/>
    <n v="22119.394010000007"/>
    <n v="0.34523957624251506"/>
  </r>
  <r>
    <n v="478"/>
    <s v="FMCG-2025-015203"/>
    <x v="63"/>
    <x v="1"/>
    <s v="South"/>
    <s v="Hyderabad"/>
    <s v="Rizwan Khan"/>
    <s v="B2B"/>
    <x v="2"/>
    <x v="1"/>
    <x v="0"/>
    <x v="11"/>
    <n v="527"/>
    <n v="200.2"/>
    <n v="0.16120000000000001"/>
    <n v="105505.4"/>
    <n v="8344.6999999999989"/>
    <n v="52300.15"/>
    <n v="5444.25"/>
    <n v="88497.929519999991"/>
    <n v="22408.829519999992"/>
    <n v="0.25321303720372051"/>
  </r>
  <r>
    <n v="479"/>
    <s v="FMCG-2025-015216"/>
    <x v="242"/>
    <x v="4"/>
    <s v="West"/>
    <s v="Mumbai"/>
    <s v="Rizwan Khan"/>
    <s v="B2C"/>
    <x v="0"/>
    <x v="3"/>
    <x v="3"/>
    <x v="24"/>
    <n v="191"/>
    <n v="80.5"/>
    <n v="0.1183"/>
    <n v="15375.5"/>
    <n v="2009"/>
    <n v="10112.200000000001"/>
    <n v="1076.95"/>
    <n v="13556.57835"/>
    <n v="358.42834999999832"/>
    <n v="2.6439440745754134E-2"/>
  </r>
  <r>
    <n v="480"/>
    <s v="FMCG-2025-015237"/>
    <x v="162"/>
    <x v="11"/>
    <s v="South"/>
    <s v="Bengaluru"/>
    <s v="Farah Siddiqui"/>
    <s v="B2B"/>
    <x v="0"/>
    <x v="2"/>
    <x v="0"/>
    <x v="23"/>
    <n v="121"/>
    <n v="205.45000000000002"/>
    <n v="0.1143"/>
    <n v="24859.45"/>
    <n v="1790.95"/>
    <n v="13290.9"/>
    <n v="1638.7"/>
    <n v="22018.014865000001"/>
    <n v="5297.4648650000008"/>
    <n v="0.24059684297065717"/>
  </r>
  <r>
    <n v="481"/>
    <s v="FMCG-2025-015257"/>
    <x v="273"/>
    <x v="2"/>
    <s v="South"/>
    <s v="Bengaluru"/>
    <s v="Anika Verma"/>
    <s v="B2B"/>
    <x v="0"/>
    <x v="2"/>
    <x v="3"/>
    <x v="24"/>
    <n v="49"/>
    <n v="85.399999999999991"/>
    <n v="8.3000000000000004E-2"/>
    <n v="4184.5999999999995"/>
    <n v="351.75"/>
    <n v="2716.7000000000003"/>
    <n v="329"/>
    <n v="3837.2781999999997"/>
    <n v="439.82819999999947"/>
    <n v="0.11461983652892289"/>
  </r>
  <r>
    <n v="482"/>
    <s v="FMCG-2025-015265"/>
    <x v="18"/>
    <x v="7"/>
    <s v="West"/>
    <s v="Mumbai"/>
    <s v="Nikhil Bhat"/>
    <s v="B2B"/>
    <x v="0"/>
    <x v="3"/>
    <x v="1"/>
    <x v="25"/>
    <n v="118"/>
    <n v="60.55"/>
    <n v="0.2072"/>
    <n v="7144.9"/>
    <n v="744.44999999999993"/>
    <n v="3037.65"/>
    <n v="427.70000000000005"/>
    <n v="5664.4767199999997"/>
    <n v="1454.6767199999999"/>
    <n v="0.25680690236820325"/>
  </r>
  <r>
    <n v="483"/>
    <s v="FMCG-2025-015370"/>
    <x v="214"/>
    <x v="0"/>
    <s v="West"/>
    <s v="Mumbai"/>
    <s v="Aarav Malhotra"/>
    <s v="B2C"/>
    <x v="0"/>
    <x v="6"/>
    <x v="3"/>
    <x v="5"/>
    <n v="59"/>
    <n v="148.4"/>
    <n v="0.2069"/>
    <n v="8755.6"/>
    <n v="1055.25"/>
    <n v="4225.8999999999996"/>
    <n v="566.29999999999995"/>
    <n v="6944.0663600000007"/>
    <n v="1096.6163600000009"/>
    <n v="0.1579213537354503"/>
  </r>
  <r>
    <n v="484"/>
    <s v="FMCG-2025-015409"/>
    <x v="139"/>
    <x v="8"/>
    <s v="West"/>
    <s v="Mumbai"/>
    <s v="Diya Kapoor"/>
    <s v="B2C"/>
    <x v="1"/>
    <x v="2"/>
    <x v="1"/>
    <x v="21"/>
    <n v="86"/>
    <n v="149.1"/>
    <n v="8.6800000000000002E-2"/>
    <n v="12822.6"/>
    <n v="1313.8999999999999"/>
    <n v="6747.3"/>
    <n v="1228.8499999999999"/>
    <n v="11709.598320000001"/>
    <n v="2419.5483200000008"/>
    <n v="0.20662948923426441"/>
  </r>
  <r>
    <n v="485"/>
    <s v="FMCG-2025-015410"/>
    <x v="251"/>
    <x v="4"/>
    <s v="West"/>
    <s v="Mumbai"/>
    <s v="Meera Nair"/>
    <s v="B2B"/>
    <x v="3"/>
    <x v="3"/>
    <x v="0"/>
    <x v="11"/>
    <n v="229"/>
    <n v="192.15"/>
    <n v="0.21160000000000001"/>
    <n v="44002.35"/>
    <n v="3060.05"/>
    <n v="21179.899999999998"/>
    <n v="1429.4"/>
    <n v="34691.452740000001"/>
    <n v="9022.1027400000021"/>
    <n v="0.2600670201855606"/>
  </r>
  <r>
    <n v="486"/>
    <s v="FMCG-2025-015419"/>
    <x v="121"/>
    <x v="9"/>
    <s v="South"/>
    <s v="Hyderabad"/>
    <s v="Rizwan Khan"/>
    <s v="B2B"/>
    <x v="2"/>
    <x v="4"/>
    <x v="1"/>
    <x v="17"/>
    <n v="280"/>
    <n v="162.75"/>
    <n v="0.2361"/>
    <n v="45570"/>
    <n v="4888.0999999999995"/>
    <n v="19139.75"/>
    <n v="1880.55"/>
    <n v="34810.923000000003"/>
    <n v="8902.523000000001"/>
    <n v="0.25573935514436086"/>
  </r>
  <r>
    <n v="487"/>
    <s v="FMCG-2025-015440"/>
    <x v="137"/>
    <x v="5"/>
    <s v="South"/>
    <s v="Bengaluru"/>
    <s v="Diya Kapoor"/>
    <s v="B2C"/>
    <x v="0"/>
    <x v="2"/>
    <x v="1"/>
    <x v="1"/>
    <n v="201"/>
    <n v="89.600000000000009"/>
    <n v="3.4799999999999998E-2"/>
    <n v="18009.600000000002"/>
    <n v="4496.45"/>
    <n v="8343.65"/>
    <n v="1362.8999999999999"/>
    <n v="17382.865920000004"/>
    <n v="3179.8659200000047"/>
    <n v="0.18293105030174472"/>
  </r>
  <r>
    <n v="488"/>
    <s v="FMCG-2025-015576"/>
    <x v="11"/>
    <x v="1"/>
    <s v="South"/>
    <s v="Bengaluru"/>
    <s v="Rohan Iyer"/>
    <s v="B2B"/>
    <x v="0"/>
    <x v="2"/>
    <x v="2"/>
    <x v="3"/>
    <n v="98"/>
    <n v="176.05"/>
    <n v="0.13519999999999999"/>
    <n v="17252.900000000001"/>
    <n v="1524.6000000000001"/>
    <n v="8726.1999999999989"/>
    <n v="1167.9499999999998"/>
    <n v="14920.307920000001"/>
    <n v="3501.5579200000029"/>
    <n v="0.23468402520743706"/>
  </r>
  <r>
    <n v="489"/>
    <s v="FMCG-2025-015597"/>
    <x v="200"/>
    <x v="11"/>
    <s v="West"/>
    <s v="Mumbai"/>
    <s v="Diya Kapoor"/>
    <s v="B2C"/>
    <x v="1"/>
    <x v="2"/>
    <x v="2"/>
    <x v="19"/>
    <n v="66"/>
    <n v="93.800000000000011"/>
    <n v="1.7600000000000001E-2"/>
    <n v="6190.8000000000011"/>
    <n v="861.35"/>
    <n v="3315.8999999999996"/>
    <n v="753.9"/>
    <n v="6081.8419200000017"/>
    <n v="1150.6919200000025"/>
    <n v="0.18920122146154075"/>
  </r>
  <r>
    <n v="490"/>
    <s v="FMCG-2025-015695"/>
    <x v="274"/>
    <x v="2"/>
    <s v="South"/>
    <s v="Bengaluru"/>
    <s v="Aarav Malhotra"/>
    <s v="B2B"/>
    <x v="3"/>
    <x v="2"/>
    <x v="4"/>
    <x v="27"/>
    <n v="223"/>
    <n v="106.75"/>
    <n v="0.14499999999999999"/>
    <n v="23805.25"/>
    <n v="1031.1000000000001"/>
    <n v="11464.25"/>
    <n v="1017.45"/>
    <n v="20353.48875"/>
    <n v="6840.6887499999993"/>
    <n v="0.33609416223545457"/>
  </r>
  <r>
    <n v="491"/>
    <s v="FMCG-2025-015722"/>
    <x v="142"/>
    <x v="11"/>
    <s v="South"/>
    <s v="Bengaluru"/>
    <s v="Aarav Malhotra"/>
    <s v="B2B"/>
    <x v="0"/>
    <x v="3"/>
    <x v="1"/>
    <x v="21"/>
    <n v="235"/>
    <n v="135.79999999999998"/>
    <n v="0.14910000000000001"/>
    <n v="31912.999999999996"/>
    <n v="3110.7999999999997"/>
    <n v="13817.650000000001"/>
    <n v="1999.5500000000002"/>
    <n v="27154.771699999998"/>
    <n v="8226.7716999999975"/>
    <n v="0.30295860303623906"/>
  </r>
  <r>
    <n v="492"/>
    <s v="FMCG-2025-015754"/>
    <x v="275"/>
    <x v="0"/>
    <s v="North"/>
    <s v="Delhi"/>
    <s v="Meera Nair"/>
    <s v="B2C"/>
    <x v="1"/>
    <x v="2"/>
    <x v="4"/>
    <x v="28"/>
    <n v="9"/>
    <n v="68.95"/>
    <n v="3.1300000000000001E-2"/>
    <n v="620.55000000000007"/>
    <n v="99.75"/>
    <n v="349.3"/>
    <n v="58.449999999999996"/>
    <n v="601.12678500000004"/>
    <n v="93.626784999999984"/>
    <n v="0.15575214303584889"/>
  </r>
  <r>
    <n v="493"/>
    <s v="FMCG-2025-015799"/>
    <x v="136"/>
    <x v="0"/>
    <s v="West"/>
    <s v="Mumbai"/>
    <s v="Diya Kapoor"/>
    <s v="B2B"/>
    <x v="0"/>
    <x v="5"/>
    <x v="2"/>
    <x v="19"/>
    <n v="68"/>
    <n v="82.95"/>
    <n v="0.1991"/>
    <n v="5640.6"/>
    <n v="735.69999999999993"/>
    <n v="2491.3000000000002"/>
    <n v="384.65000000000003"/>
    <n v="4517.5565399999996"/>
    <n v="905.90653999999984"/>
    <n v="0.20053020520690593"/>
  </r>
  <r>
    <n v="494"/>
    <s v="FMCG-2025-015815"/>
    <x v="240"/>
    <x v="6"/>
    <s v="South"/>
    <s v="Bengaluru"/>
    <s v="Farah Siddiqui"/>
    <s v="B2C"/>
    <x v="0"/>
    <x v="2"/>
    <x v="3"/>
    <x v="26"/>
    <n v="48"/>
    <n v="270.55"/>
    <n v="3.9199999999999999E-2"/>
    <n v="12986.400000000001"/>
    <n v="1444.8"/>
    <n v="8534.75"/>
    <n v="1057.3500000000001"/>
    <n v="12477.333120000001"/>
    <n v="1440.4331200000008"/>
    <n v="0.11544399000545404"/>
  </r>
  <r>
    <n v="495"/>
    <s v="FMCG-2025-015923"/>
    <x v="276"/>
    <x v="7"/>
    <s v="South"/>
    <s v="Hyderabad"/>
    <s v="Farah Siddiqui"/>
    <s v="B2B"/>
    <x v="0"/>
    <x v="2"/>
    <x v="2"/>
    <x v="18"/>
    <n v="239"/>
    <n v="157.85"/>
    <n v="6.6699999999999995E-2"/>
    <n v="37726.15"/>
    <n v="3157.35"/>
    <n v="18126.149999999998"/>
    <n v="3198.65"/>
    <n v="35209.815795000002"/>
    <n v="10727.665795000003"/>
    <n v="0.30467827089636162"/>
  </r>
  <r>
    <n v="496"/>
    <s v="FMCG-2025-015956"/>
    <x v="127"/>
    <x v="0"/>
    <s v="South"/>
    <s v="Hyderabad"/>
    <s v="Rizwan Khan"/>
    <s v="B2C"/>
    <x v="1"/>
    <x v="1"/>
    <x v="1"/>
    <x v="1"/>
    <n v="105"/>
    <n v="87.5"/>
    <n v="5.9299999999999999E-2"/>
    <n v="9187.5"/>
    <n v="1433.95"/>
    <n v="4379.55"/>
    <n v="925.75"/>
    <n v="8642.6812499999996"/>
    <n v="1903.4312499999994"/>
    <n v="0.22023619695566113"/>
  </r>
  <r>
    <n v="497"/>
    <s v="FMCG-2025-016004"/>
    <x v="277"/>
    <x v="2"/>
    <s v="North"/>
    <s v="Delhi"/>
    <s v="Diya Kapoor"/>
    <s v="B2B"/>
    <x v="3"/>
    <x v="2"/>
    <x v="3"/>
    <x v="8"/>
    <n v="655"/>
    <n v="74.900000000000006"/>
    <n v="0.1142"/>
    <n v="49059.500000000007"/>
    <n v="1953.7"/>
    <n v="28659.75"/>
    <n v="2700.25"/>
    <n v="43456.905100000011"/>
    <n v="10143.20510000001"/>
    <n v="0.23340836345016219"/>
  </r>
  <r>
    <n v="498"/>
    <s v="FMCG-2025-016054"/>
    <x v="278"/>
    <x v="5"/>
    <s v="North"/>
    <s v="Delhi"/>
    <s v="Rizwan Khan"/>
    <s v="B2C"/>
    <x v="1"/>
    <x v="0"/>
    <x v="4"/>
    <x v="27"/>
    <n v="29"/>
    <n v="112"/>
    <n v="8.0100000000000005E-2"/>
    <n v="3248"/>
    <n v="361.55"/>
    <n v="1577.8"/>
    <n v="325.14999999999998"/>
    <n v="2987.8352"/>
    <n v="723.33519999999999"/>
    <n v="0.24209340595492013"/>
  </r>
  <r>
    <n v="499"/>
    <s v="FMCG-2025-016134"/>
    <x v="246"/>
    <x v="10"/>
    <s v="North"/>
    <s v="Delhi"/>
    <s v="Anika Verma"/>
    <s v="B2C"/>
    <x v="0"/>
    <x v="6"/>
    <x v="3"/>
    <x v="10"/>
    <n v="48"/>
    <n v="125.3"/>
    <n v="9.6500000000000002E-2"/>
    <n v="6014.4"/>
    <n v="928.9"/>
    <n v="3472.35"/>
    <n v="473.54999999999995"/>
    <n v="5434.0103999999992"/>
    <n v="559.21039999999914"/>
    <n v="0.10290933561702408"/>
  </r>
  <r>
    <n v="500"/>
    <s v="FMCG-2025-016147"/>
    <x v="15"/>
    <x v="9"/>
    <s v="West"/>
    <s v="Mumbai"/>
    <s v="Meera Nair"/>
    <s v="B2C"/>
    <x v="1"/>
    <x v="2"/>
    <x v="1"/>
    <x v="21"/>
    <n v="92"/>
    <n v="154.69999999999999"/>
    <n v="4.1700000000000001E-2"/>
    <n v="14232.4"/>
    <n v="1960.7"/>
    <n v="6922.65"/>
    <n v="1414"/>
    <n v="13638.90892"/>
    <n v="3341.5589200000004"/>
    <n v="0.2450019235116353"/>
  </r>
  <r>
    <n v="501"/>
    <s v="FMCG-2025-016188"/>
    <x v="279"/>
    <x v="6"/>
    <s v="South"/>
    <s v="Hyderabad"/>
    <s v="Nikhil Bhat"/>
    <s v="B2C"/>
    <x v="1"/>
    <x v="3"/>
    <x v="3"/>
    <x v="8"/>
    <n v="45"/>
    <n v="91.7"/>
    <n v="3.5499999999999997E-2"/>
    <n v="4126.5"/>
    <n v="697.2"/>
    <n v="2944.9"/>
    <n v="388.15"/>
    <n v="3980.0092500000001"/>
    <n v="-50.240750000000162"/>
    <n v="-1.2623274682087777E-2"/>
  </r>
  <r>
    <n v="502"/>
    <s v="FMCG-2025-016251"/>
    <x v="224"/>
    <x v="1"/>
    <s v="South"/>
    <s v="Hyderabad"/>
    <s v="Nikhil Bhat"/>
    <s v="B2B"/>
    <x v="0"/>
    <x v="4"/>
    <x v="3"/>
    <x v="13"/>
    <n v="206"/>
    <n v="116.55"/>
    <n v="0.14099999999999999"/>
    <n v="24009.3"/>
    <n v="4171.6499999999996"/>
    <n v="11984"/>
    <n v="1624"/>
    <n v="20623.988699999998"/>
    <n v="2844.3386999999984"/>
    <n v="0.13791409321321044"/>
  </r>
  <r>
    <n v="503"/>
    <s v="FMCG-2025-016276"/>
    <x v="280"/>
    <x v="3"/>
    <s v="South"/>
    <s v="Bengaluru"/>
    <s v="Diya Kapoor"/>
    <s v="B2B"/>
    <x v="0"/>
    <x v="2"/>
    <x v="4"/>
    <x v="27"/>
    <n v="124"/>
    <n v="106.75"/>
    <n v="0.1137"/>
    <n v="13237"/>
    <n v="1321.95"/>
    <n v="6188"/>
    <n v="740.25"/>
    <n v="11731.953099999999"/>
    <n v="3481.753099999999"/>
    <n v="0.29677523173869486"/>
  </r>
  <r>
    <n v="504"/>
    <s v="FMCG-2025-016391"/>
    <x v="35"/>
    <x v="7"/>
    <s v="North"/>
    <s v="Delhi"/>
    <s v="Aarav Malhotra"/>
    <s v="B2C"/>
    <x v="1"/>
    <x v="3"/>
    <x v="4"/>
    <x v="27"/>
    <n v="46"/>
    <n v="116.89999999999999"/>
    <n v="8.9399999999999993E-2"/>
    <n v="5377.4"/>
    <n v="964.95"/>
    <n v="2850.75"/>
    <n v="476.34999999999997"/>
    <n v="4896.6604399999997"/>
    <n v="604.61043999999924"/>
    <n v="0.12347403856331098"/>
  </r>
  <r>
    <n v="505"/>
    <s v="FMCG-2025-016442"/>
    <x v="148"/>
    <x v="2"/>
    <s v="South"/>
    <s v="Bengaluru"/>
    <s v="Diya Kapoor"/>
    <s v="B2C"/>
    <x v="1"/>
    <x v="3"/>
    <x v="3"/>
    <x v="13"/>
    <n v="48"/>
    <n v="123.55"/>
    <n v="8.9900000000000008E-2"/>
    <n v="5930.4"/>
    <n v="1006.9499999999999"/>
    <n v="3187.7999999999997"/>
    <n v="546"/>
    <n v="5397.2570399999995"/>
    <n v="656.50703999999985"/>
    <n v="0.1216371640510195"/>
  </r>
  <r>
    <n v="506"/>
    <s v="FMCG-2025-016448"/>
    <x v="88"/>
    <x v="7"/>
    <s v="North"/>
    <s v="Delhi"/>
    <s v="Rohan Iyer"/>
    <s v="B2C"/>
    <x v="3"/>
    <x v="3"/>
    <x v="4"/>
    <x v="27"/>
    <n v="510"/>
    <n v="94.85"/>
    <n v="0.16949999999999998"/>
    <n v="48373.5"/>
    <n v="8243.5499999999993"/>
    <n v="22424.15"/>
    <n v="1958.95"/>
    <n v="40174.191749999998"/>
    <n v="7547.5417500000003"/>
    <n v="0.18787040687632503"/>
  </r>
  <r>
    <n v="507"/>
    <s v="FMCG-2025-016477"/>
    <x v="105"/>
    <x v="10"/>
    <s v="North"/>
    <s v="Delhi"/>
    <s v="Diya Kapoor"/>
    <s v="B2C"/>
    <x v="0"/>
    <x v="2"/>
    <x v="3"/>
    <x v="8"/>
    <n v="118"/>
    <n v="78.05"/>
    <n v="6.6000000000000003E-2"/>
    <n v="9209.9"/>
    <n v="1100.4000000000001"/>
    <n v="6332.9"/>
    <n v="681.44999999999993"/>
    <n v="8602.0465999999997"/>
    <n v="487.29660000000013"/>
    <n v="5.6648914224668362E-2"/>
  </r>
  <r>
    <n v="508"/>
    <s v="FMCG-2025-016519"/>
    <x v="107"/>
    <x v="11"/>
    <s v="North"/>
    <s v="Delhi"/>
    <s v="Diya Kapoor"/>
    <s v="B2C"/>
    <x v="3"/>
    <x v="2"/>
    <x v="3"/>
    <x v="10"/>
    <n v="611"/>
    <n v="101.85000000000001"/>
    <n v="8.9499999999999996E-2"/>
    <n v="62230.350000000006"/>
    <n v="3227"/>
    <n v="35794.15"/>
    <n v="3301.5499999999997"/>
    <n v="56660.733675000003"/>
    <n v="14338.033674999999"/>
    <n v="0.25305061803896589"/>
  </r>
  <r>
    <n v="509"/>
    <s v="FMCG-2025-016520"/>
    <x v="162"/>
    <x v="11"/>
    <s v="South"/>
    <s v="Hyderabad"/>
    <s v="Rohan Iyer"/>
    <s v="B2C"/>
    <x v="0"/>
    <x v="1"/>
    <x v="4"/>
    <x v="9"/>
    <n v="260"/>
    <n v="146.29999999999998"/>
    <n v="0.1137"/>
    <n v="38037.999999999993"/>
    <n v="5251.4"/>
    <n v="18652.199999999997"/>
    <n v="2475.1999999999998"/>
    <n v="33713.079399999995"/>
    <n v="7334.2793999999976"/>
    <n v="0.21754996964175272"/>
  </r>
  <r>
    <n v="510"/>
    <s v="FMCG-2025-016524"/>
    <x v="67"/>
    <x v="1"/>
    <s v="South"/>
    <s v="Hyderabad"/>
    <s v="Meera Nair"/>
    <s v="B2B"/>
    <x v="2"/>
    <x v="3"/>
    <x v="0"/>
    <x v="29"/>
    <n v="244"/>
    <n v="94.5"/>
    <n v="0.1603"/>
    <n v="23058"/>
    <n v="1442.3500000000001"/>
    <n v="9293.5499999999993"/>
    <n v="975.8"/>
    <n v="19361.802599999999"/>
    <n v="7650.1026000000002"/>
    <n v="0.39511313889751154"/>
  </r>
  <r>
    <n v="511"/>
    <s v="FMCG-2025-016535"/>
    <x v="214"/>
    <x v="0"/>
    <s v="South"/>
    <s v="Bengaluru"/>
    <s v="Rohan Iyer"/>
    <s v="B2B"/>
    <x v="2"/>
    <x v="1"/>
    <x v="2"/>
    <x v="16"/>
    <n v="639"/>
    <n v="286.64999999999998"/>
    <n v="0.19510000000000002"/>
    <n v="183169.34999999998"/>
    <n v="13209"/>
    <n v="88184.599999999991"/>
    <n v="8907.15"/>
    <n v="147433.00981499997"/>
    <n v="37132.259814999983"/>
    <n v="0.25185852111134283"/>
  </r>
  <r>
    <n v="512"/>
    <s v="FMCG-2025-016612"/>
    <x v="278"/>
    <x v="5"/>
    <s v="South"/>
    <s v="Hyderabad"/>
    <s v="Aarav Malhotra"/>
    <s v="B2B"/>
    <x v="0"/>
    <x v="2"/>
    <x v="4"/>
    <x v="15"/>
    <n v="36"/>
    <n v="69.650000000000006"/>
    <n v="9.6500000000000002E-2"/>
    <n v="2507.4"/>
    <n v="261.10000000000002"/>
    <n v="1374.1"/>
    <n v="169.75"/>
    <n v="2265.4358999999999"/>
    <n v="460.48590000000002"/>
    <n v="0.20326591452002682"/>
  </r>
  <r>
    <n v="513"/>
    <s v="FMCG-2025-016635"/>
    <x v="184"/>
    <x v="9"/>
    <s v="South"/>
    <s v="Bengaluru"/>
    <s v="Aarav Malhotra"/>
    <s v="B2C"/>
    <x v="1"/>
    <x v="1"/>
    <x v="4"/>
    <x v="27"/>
    <n v="24"/>
    <n v="114.1"/>
    <n v="7.0000000000000007E-2"/>
    <n v="2738.3999999999996"/>
    <n v="1102.5"/>
    <n v="1495.55"/>
    <n v="241.5"/>
    <n v="2546.7119999999995"/>
    <n v="-292.83800000000042"/>
    <n v="-0.11498669657189367"/>
  </r>
  <r>
    <n v="514"/>
    <s v="FMCG-2025-016652"/>
    <x v="225"/>
    <x v="3"/>
    <s v="South"/>
    <s v="Bengaluru"/>
    <s v="Rizwan Khan"/>
    <s v="B2C"/>
    <x v="1"/>
    <x v="6"/>
    <x v="4"/>
    <x v="15"/>
    <n v="26"/>
    <n v="63.35"/>
    <n v="0.18049999999999999"/>
    <n v="1647.1000000000001"/>
    <n v="569.1"/>
    <n v="845.25"/>
    <n v="148.05000000000001"/>
    <n v="1349.7984500000002"/>
    <n v="-212.60154999999975"/>
    <n v="-0.15750614471367907"/>
  </r>
  <r>
    <n v="515"/>
    <s v="FMCG-2025-016662"/>
    <x v="151"/>
    <x v="5"/>
    <s v="West"/>
    <s v="Mumbai"/>
    <s v="Diya Kapoor"/>
    <s v="B2C"/>
    <x v="1"/>
    <x v="5"/>
    <x v="0"/>
    <x v="6"/>
    <n v="55"/>
    <n v="98.699999999999989"/>
    <n v="7.8200000000000006E-2"/>
    <n v="5428.4999999999991"/>
    <n v="977.2"/>
    <n v="2497.25"/>
    <n v="558.25"/>
    <n v="5003.9912999999988"/>
    <n v="971.29129999999873"/>
    <n v="0.19410331508769788"/>
  </r>
  <r>
    <n v="516"/>
    <s v="FMCG-2025-016668"/>
    <x v="154"/>
    <x v="0"/>
    <s v="West"/>
    <s v="Mumbai"/>
    <s v="Aarav Malhotra"/>
    <s v="B2C"/>
    <x v="1"/>
    <x v="5"/>
    <x v="4"/>
    <x v="7"/>
    <n v="16"/>
    <n v="93.45"/>
    <n v="0.1467"/>
    <n v="1495.2"/>
    <n v="218.05"/>
    <n v="739.55"/>
    <n v="112"/>
    <n v="1275.8541599999999"/>
    <n v="206.2541599999999"/>
    <n v="0.16165966806112064"/>
  </r>
  <r>
    <n v="517"/>
    <s v="FMCG-2025-016682"/>
    <x v="40"/>
    <x v="3"/>
    <s v="South"/>
    <s v="Hyderabad"/>
    <s v="Anika Verma"/>
    <s v="B2B"/>
    <x v="2"/>
    <x v="2"/>
    <x v="2"/>
    <x v="19"/>
    <n v="479"/>
    <n v="86.1"/>
    <n v="0.1027"/>
    <n v="41241.899999999994"/>
    <n v="2021.95"/>
    <n v="22487.85"/>
    <n v="2211.3000000000002"/>
    <n v="37006.356869999996"/>
    <n v="10285.256869999994"/>
    <n v="0.27793216463136794"/>
  </r>
  <r>
    <n v="518"/>
    <s v="FMCG-2025-016683"/>
    <x v="5"/>
    <x v="4"/>
    <s v="South"/>
    <s v="Bengaluru"/>
    <s v="Diya Kapoor"/>
    <s v="B2B"/>
    <x v="2"/>
    <x v="2"/>
    <x v="4"/>
    <x v="14"/>
    <n v="582"/>
    <n v="98.350000000000009"/>
    <n v="0.16739999999999999"/>
    <n v="57239.700000000004"/>
    <n v="3564.4"/>
    <n v="28934.15"/>
    <n v="2469.9499999999998"/>
    <n v="47657.774220000007"/>
    <n v="12689.274220000008"/>
    <n v="0.26625822182595432"/>
  </r>
  <r>
    <n v="519"/>
    <s v="FMCG-2025-016750"/>
    <x v="102"/>
    <x v="1"/>
    <s v="South"/>
    <s v="Hyderabad"/>
    <s v="Diya Kapoor"/>
    <s v="B2C"/>
    <x v="1"/>
    <x v="2"/>
    <x v="1"/>
    <x v="21"/>
    <n v="128"/>
    <n v="152.95000000000002"/>
    <n v="2.8799999999999999E-2"/>
    <n v="19577.600000000002"/>
    <n v="2077.25"/>
    <n v="10016.300000000001"/>
    <n v="1989.75"/>
    <n v="19013.76512"/>
    <n v="4930.4651199999989"/>
    <n v="0.2593102990850451"/>
  </r>
  <r>
    <n v="520"/>
    <s v="FMCG-2025-016782"/>
    <x v="281"/>
    <x v="11"/>
    <s v="West"/>
    <s v="Mumbai"/>
    <s v="Diya Kapoor"/>
    <s v="B2C"/>
    <x v="1"/>
    <x v="2"/>
    <x v="4"/>
    <x v="15"/>
    <n v="69"/>
    <n v="65.45"/>
    <n v="1.26E-2"/>
    <n v="4516.05"/>
    <n v="987.35"/>
    <n v="2733.85"/>
    <n v="476.7"/>
    <n v="4459.1477700000005"/>
    <n v="261.24777000000074"/>
    <n v="5.8586928147483376E-2"/>
  </r>
  <r>
    <n v="521"/>
    <s v="FMCG-2025-016826"/>
    <x v="245"/>
    <x v="5"/>
    <s v="South"/>
    <s v="Hyderabad"/>
    <s v="Nikhil Bhat"/>
    <s v="B2C"/>
    <x v="0"/>
    <x v="5"/>
    <x v="0"/>
    <x v="12"/>
    <n v="78"/>
    <n v="79.099999999999994"/>
    <n v="0.15060000000000001"/>
    <n v="6169.7999999999993"/>
    <n v="734.65"/>
    <n v="2515.4500000000003"/>
    <n v="350"/>
    <n v="5240.6281199999994"/>
    <n v="1640.528119999999"/>
    <n v="0.31304036127638823"/>
  </r>
  <r>
    <n v="522"/>
    <s v="FMCG-2025-016830"/>
    <x v="282"/>
    <x v="7"/>
    <s v="South"/>
    <s v="Hyderabad"/>
    <s v="Diya Kapoor"/>
    <s v="B2B"/>
    <x v="0"/>
    <x v="3"/>
    <x v="0"/>
    <x v="23"/>
    <n v="184"/>
    <n v="220.15"/>
    <n v="0.19239999999999999"/>
    <n v="40507.599999999999"/>
    <n v="4144.7"/>
    <n v="17494.399999999998"/>
    <n v="2203.25"/>
    <n v="32713.937759999997"/>
    <n v="8871.5877599999985"/>
    <n v="0.27118678971283827"/>
  </r>
  <r>
    <n v="523"/>
    <s v="FMCG-2025-016874"/>
    <x v="245"/>
    <x v="5"/>
    <s v="West"/>
    <s v="Mumbai"/>
    <s v="Rohan Iyer"/>
    <s v="B2B"/>
    <x v="2"/>
    <x v="2"/>
    <x v="1"/>
    <x v="1"/>
    <n v="325"/>
    <n v="86.45"/>
    <n v="0.12119999999999999"/>
    <n v="28096.25"/>
    <n v="1557.15"/>
    <n v="12918.15"/>
    <n v="1440.25"/>
    <n v="24690.984500000002"/>
    <n v="8775.434500000003"/>
    <n v="0.35541047381079527"/>
  </r>
  <r>
    <n v="524"/>
    <s v="FMCG-2025-016884"/>
    <x v="122"/>
    <x v="4"/>
    <s v="North"/>
    <s v="Delhi"/>
    <s v="Diya Kapoor"/>
    <s v="B2C"/>
    <x v="1"/>
    <x v="4"/>
    <x v="3"/>
    <x v="24"/>
    <n v="8"/>
    <n v="93.45"/>
    <n v="0.1013"/>
    <n v="747.6"/>
    <n v="122.5"/>
    <n v="468.3"/>
    <n v="74.2"/>
    <n v="671.86812000000009"/>
    <n v="6.8681200000000331"/>
    <n v="1.022242281714458E-2"/>
  </r>
  <r>
    <n v="525"/>
    <s v="FMCG-2025-016905"/>
    <x v="102"/>
    <x v="1"/>
    <s v="North"/>
    <s v="Delhi"/>
    <s v="Anika Verma"/>
    <s v="B2C"/>
    <x v="3"/>
    <x v="1"/>
    <x v="1"/>
    <x v="4"/>
    <n v="348"/>
    <n v="181.65"/>
    <n v="0.13919999999999999"/>
    <n v="63214.200000000004"/>
    <n v="3512.25"/>
    <n v="33611.550000000003"/>
    <n v="2346.4"/>
    <n v="54414.783360000001"/>
    <n v="14944.583359999997"/>
    <n v="0.27464197111893079"/>
  </r>
  <r>
    <n v="526"/>
    <s v="FMCG-2025-016924"/>
    <x v="282"/>
    <x v="7"/>
    <s v="South"/>
    <s v="Hyderabad"/>
    <s v="Anika Verma"/>
    <s v="B2C"/>
    <x v="1"/>
    <x v="5"/>
    <x v="4"/>
    <x v="9"/>
    <n v="27"/>
    <n v="134.75"/>
    <n v="0.10730000000000001"/>
    <n v="3638.25"/>
    <n v="790.65"/>
    <n v="1913.1"/>
    <n v="316.04999999999995"/>
    <n v="3247.8657750000002"/>
    <n v="228.06577500000014"/>
    <n v="7.0220197138534807E-2"/>
  </r>
  <r>
    <n v="527"/>
    <s v="FMCG-2025-016929"/>
    <x v="238"/>
    <x v="3"/>
    <s v="North"/>
    <s v="Delhi"/>
    <s v="Farah Siddiqui"/>
    <s v="B2C"/>
    <x v="0"/>
    <x v="3"/>
    <x v="0"/>
    <x v="12"/>
    <n v="84"/>
    <n v="79.099999999999994"/>
    <n v="0.12189999999999999"/>
    <n v="6644.4"/>
    <n v="623"/>
    <n v="2800.7"/>
    <n v="398.3"/>
    <n v="5834.4476399999994"/>
    <n v="2012.4476399999994"/>
    <n v="0.34492513502100769"/>
  </r>
  <r>
    <n v="528"/>
    <s v="FMCG-2025-017005"/>
    <x v="185"/>
    <x v="8"/>
    <s v="West"/>
    <s v="Mumbai"/>
    <s v="Meera Nair"/>
    <s v="B2B"/>
    <x v="0"/>
    <x v="3"/>
    <x v="4"/>
    <x v="28"/>
    <n v="151"/>
    <n v="70"/>
    <n v="0.14199999999999999"/>
    <n v="10570"/>
    <n v="1251.5999999999999"/>
    <n v="5668.6"/>
    <n v="575.75"/>
    <n v="9069.06"/>
    <n v="1573.1099999999992"/>
    <n v="0.17345899133978596"/>
  </r>
  <r>
    <n v="529"/>
    <s v="FMCG-2025-017010"/>
    <x v="283"/>
    <x v="0"/>
    <s v="South"/>
    <s v="Bengaluru"/>
    <s v="Rohan Iyer"/>
    <s v="B2C"/>
    <x v="1"/>
    <x v="1"/>
    <x v="1"/>
    <x v="1"/>
    <n v="81"/>
    <n v="76.300000000000011"/>
    <n v="7.5600000000000001E-2"/>
    <n v="6180.3000000000011"/>
    <n v="1040.55"/>
    <n v="2980.25"/>
    <n v="548.1"/>
    <n v="5713.0693200000014"/>
    <n v="1144.1693200000011"/>
    <n v="0.20027226275630081"/>
  </r>
  <r>
    <n v="530"/>
    <s v="FMCG-2025-017034"/>
    <x v="180"/>
    <x v="6"/>
    <s v="North"/>
    <s v="Delhi"/>
    <s v="Aarav Malhotra"/>
    <s v="B2C"/>
    <x v="3"/>
    <x v="4"/>
    <x v="3"/>
    <x v="24"/>
    <n v="755"/>
    <n v="86.45"/>
    <n v="0.18030000000000002"/>
    <n v="65269.75"/>
    <n v="6802.6"/>
    <n v="39963.35"/>
    <n v="3084.9"/>
    <n v="53501.614074999998"/>
    <n v="3650.7640749999973"/>
    <n v="6.8236522170756542E-2"/>
  </r>
  <r>
    <n v="531"/>
    <s v="FMCG-2025-017041"/>
    <x v="37"/>
    <x v="4"/>
    <s v="West"/>
    <s v="Mumbai"/>
    <s v="Aarav Malhotra"/>
    <s v="B2C"/>
    <x v="1"/>
    <x v="2"/>
    <x v="2"/>
    <x v="2"/>
    <n v="16"/>
    <n v="139.30000000000001"/>
    <n v="1.6500000000000001E-2"/>
    <n v="2228.8000000000002"/>
    <n v="638.4"/>
    <n v="1157.8"/>
    <n v="271.59999999999997"/>
    <n v="2192.0248000000001"/>
    <n v="124.2248000000003"/>
    <n v="5.6671256639067358E-2"/>
  </r>
  <r>
    <n v="532"/>
    <s v="FMCG-2025-017042"/>
    <x v="284"/>
    <x v="9"/>
    <s v="North"/>
    <s v="Delhi"/>
    <s v="Anika Verma"/>
    <s v="B2C"/>
    <x v="1"/>
    <x v="2"/>
    <x v="0"/>
    <x v="6"/>
    <n v="42"/>
    <n v="95.9"/>
    <n v="7.4900000000000008E-2"/>
    <n v="4027.8"/>
    <n v="505.4"/>
    <n v="2013.2"/>
    <n v="400.05"/>
    <n v="3726.1177800000005"/>
    <n v="807.46778000000029"/>
    <n v="0.21670484608245533"/>
  </r>
  <r>
    <n v="533"/>
    <s v="FMCG-2025-017046"/>
    <x v="281"/>
    <x v="11"/>
    <s v="South"/>
    <s v="Bengaluru"/>
    <s v="Meera Nair"/>
    <s v="B2B"/>
    <x v="2"/>
    <x v="2"/>
    <x v="1"/>
    <x v="25"/>
    <n v="459"/>
    <n v="61.95"/>
    <n v="0.1072"/>
    <n v="28435.050000000003"/>
    <n v="1539.3"/>
    <n v="13297.2"/>
    <n v="1386.6999999999998"/>
    <n v="25386.812640000004"/>
    <n v="9163.612640000003"/>
    <n v="0.36095955683548941"/>
  </r>
  <r>
    <n v="534"/>
    <s v="FMCG-2025-017075"/>
    <x v="174"/>
    <x v="9"/>
    <s v="North"/>
    <s v="Delhi"/>
    <s v="Rizwan Khan"/>
    <s v="B2C"/>
    <x v="1"/>
    <x v="3"/>
    <x v="0"/>
    <x v="23"/>
    <n v="14"/>
    <n v="206.85"/>
    <n v="4.6100000000000002E-2"/>
    <n v="2895.9"/>
    <n v="475.3"/>
    <n v="1555.75"/>
    <n v="245.35"/>
    <n v="2762.3990100000001"/>
    <n v="485.99901000000017"/>
    <n v="0.17593367512827199"/>
  </r>
  <r>
    <n v="535"/>
    <s v="FMCG-2025-017077"/>
    <x v="285"/>
    <x v="0"/>
    <s v="North"/>
    <s v="Delhi"/>
    <s v="Diya Kapoor"/>
    <s v="B2B"/>
    <x v="0"/>
    <x v="2"/>
    <x v="3"/>
    <x v="24"/>
    <n v="181"/>
    <n v="82.95"/>
    <n v="9.8299999999999998E-2"/>
    <n v="15013.95"/>
    <n v="1570.1"/>
    <n v="10015.6"/>
    <n v="1137.5"/>
    <n v="13538.078715"/>
    <n v="814.87871499999937"/>
    <n v="6.0191607107227506E-2"/>
  </r>
  <r>
    <n v="536"/>
    <s v="FMCG-2025-017100"/>
    <x v="19"/>
    <x v="9"/>
    <s v="West"/>
    <s v="Mumbai"/>
    <s v="Anika Verma"/>
    <s v="B2C"/>
    <x v="0"/>
    <x v="0"/>
    <x v="4"/>
    <x v="15"/>
    <n v="124"/>
    <n v="66.5"/>
    <n v="0.13449999999999998"/>
    <n v="8246"/>
    <n v="906.85"/>
    <n v="4244.8"/>
    <n v="559.30000000000007"/>
    <n v="7136.9130000000005"/>
    <n v="1425.9630000000002"/>
    <n v="0.19980109047146857"/>
  </r>
  <r>
    <n v="537"/>
    <s v="FMCG-2025-017104"/>
    <x v="286"/>
    <x v="7"/>
    <s v="West"/>
    <s v="Mumbai"/>
    <s v="Rizwan Khan"/>
    <s v="B2C"/>
    <x v="0"/>
    <x v="1"/>
    <x v="3"/>
    <x v="10"/>
    <n v="249"/>
    <n v="115.5"/>
    <n v="0.1449"/>
    <n v="28759.5"/>
    <n v="3045"/>
    <n v="13866.65"/>
    <n v="1825.6"/>
    <n v="24592.248449999999"/>
    <n v="5854.998450000001"/>
    <n v="0.23808308792521171"/>
  </r>
  <r>
    <n v="538"/>
    <s v="FMCG-2025-017119"/>
    <x v="167"/>
    <x v="3"/>
    <s v="South"/>
    <s v="Bengaluru"/>
    <s v="Meera Nair"/>
    <s v="B2C"/>
    <x v="0"/>
    <x v="2"/>
    <x v="2"/>
    <x v="3"/>
    <n v="30"/>
    <n v="179.89999999999998"/>
    <n v="3.3799999999999997E-2"/>
    <n v="5396.9999999999991"/>
    <n v="468.3"/>
    <n v="3117.1"/>
    <n v="396.9"/>
    <n v="5214.5813999999991"/>
    <n v="1232.2813999999996"/>
    <n v="0.23631453907306918"/>
  </r>
  <r>
    <n v="539"/>
    <s v="FMCG-2025-017169"/>
    <x v="61"/>
    <x v="4"/>
    <s v="West"/>
    <s v="Mumbai"/>
    <s v="Aarav Malhotra"/>
    <s v="B2C"/>
    <x v="1"/>
    <x v="0"/>
    <x v="2"/>
    <x v="19"/>
    <n v="66"/>
    <n v="108.85"/>
    <n v="0.1216"/>
    <n v="7184.0999999999995"/>
    <n v="930.65"/>
    <n v="3480.4"/>
    <n v="747.25"/>
    <n v="6310.5134399999988"/>
    <n v="1152.2134399999986"/>
    <n v="0.18258632216778845"/>
  </r>
  <r>
    <n v="540"/>
    <s v="FMCG-2025-017174"/>
    <x v="287"/>
    <x v="4"/>
    <s v="North"/>
    <s v="Delhi"/>
    <s v="Anika Verma"/>
    <s v="B2C"/>
    <x v="1"/>
    <x v="2"/>
    <x v="1"/>
    <x v="17"/>
    <n v="65"/>
    <n v="159.95000000000002"/>
    <n v="7.7699999999999991E-2"/>
    <n v="10396.750000000002"/>
    <n v="1171.8"/>
    <n v="5834.5"/>
    <n v="1017.0999999999999"/>
    <n v="9588.9225250000018"/>
    <n v="1565.5225250000015"/>
    <n v="0.16326365354589212"/>
  </r>
  <r>
    <n v="541"/>
    <s v="FMCG-2025-017176"/>
    <x v="285"/>
    <x v="0"/>
    <s v="West"/>
    <s v="Mumbai"/>
    <s v="Meera Nair"/>
    <s v="B2B"/>
    <x v="2"/>
    <x v="1"/>
    <x v="4"/>
    <x v="15"/>
    <n v="128"/>
    <n v="70.7"/>
    <n v="0.15679999999999999"/>
    <n v="9049.6"/>
    <n v="863.8"/>
    <n v="4987.5"/>
    <n v="462"/>
    <n v="7630.6227200000003"/>
    <n v="1317.3227200000003"/>
    <n v="0.17263633235951684"/>
  </r>
  <r>
    <n v="542"/>
    <s v="FMCG-2025-017194"/>
    <x v="82"/>
    <x v="1"/>
    <s v="South"/>
    <s v="Bengaluru"/>
    <s v="Anika Verma"/>
    <s v="B2B"/>
    <x v="0"/>
    <x v="3"/>
    <x v="0"/>
    <x v="0"/>
    <n v="272"/>
    <n v="162.39999999999998"/>
    <n v="0.17449999999999999"/>
    <n v="44172.799999999996"/>
    <n v="4795.3499999999995"/>
    <n v="20650.7"/>
    <n v="2534.35"/>
    <n v="36464.646399999998"/>
    <n v="8484.2464"/>
    <n v="0.23267046955376483"/>
  </r>
  <r>
    <n v="543"/>
    <s v="FMCG-2025-017212"/>
    <x v="257"/>
    <x v="9"/>
    <s v="South"/>
    <s v="Hyderabad"/>
    <s v="Aarav Malhotra"/>
    <s v="B2B"/>
    <x v="0"/>
    <x v="2"/>
    <x v="1"/>
    <x v="17"/>
    <n v="93"/>
    <n v="152.95000000000002"/>
    <n v="9.3699999999999992E-2"/>
    <n v="14224.350000000002"/>
    <n v="1299.1999999999998"/>
    <n v="8132.95"/>
    <n v="975.45"/>
    <n v="12891.528405000003"/>
    <n v="2483.9284050000024"/>
    <n v="0.19267912438036489"/>
  </r>
  <r>
    <n v="544"/>
    <s v="FMCG-2025-017245"/>
    <x v="46"/>
    <x v="10"/>
    <s v="South"/>
    <s v="Hyderabad"/>
    <s v="Anika Verma"/>
    <s v="B2B"/>
    <x v="2"/>
    <x v="4"/>
    <x v="4"/>
    <x v="14"/>
    <n v="322"/>
    <n v="99.399999999999991"/>
    <n v="0.20430000000000001"/>
    <n v="32006.799999999996"/>
    <n v="3899.35"/>
    <n v="14256.55"/>
    <n v="1240.75"/>
    <n v="25467.810759999997"/>
    <n v="6071.160759999997"/>
    <n v="0.23838565541469406"/>
  </r>
  <r>
    <n v="545"/>
    <s v="FMCG-2025-017259"/>
    <x v="288"/>
    <x v="0"/>
    <s v="North"/>
    <s v="Delhi"/>
    <s v="Farah Siddiqui"/>
    <s v="B2C"/>
    <x v="0"/>
    <x v="5"/>
    <x v="1"/>
    <x v="21"/>
    <n v="165"/>
    <n v="144.89999999999998"/>
    <n v="8.5299999999999987E-2"/>
    <n v="23908.499999999996"/>
    <n v="3704.75"/>
    <n v="12552.75"/>
    <n v="1448.65"/>
    <n v="21869.104949999997"/>
    <n v="4162.9549499999957"/>
    <n v="0.19035781114580988"/>
  </r>
  <r>
    <n v="546"/>
    <s v="FMCG-2025-017288"/>
    <x v="289"/>
    <x v="11"/>
    <s v="West"/>
    <s v="Mumbai"/>
    <s v="Rizwan Khan"/>
    <s v="B2B"/>
    <x v="3"/>
    <x v="0"/>
    <x v="3"/>
    <x v="13"/>
    <n v="401"/>
    <n v="117.95"/>
    <n v="0.1946"/>
    <n v="47297.950000000004"/>
    <n v="1804.95"/>
    <n v="25183.200000000001"/>
    <n v="1971.55"/>
    <n v="38093.768930000006"/>
    <n v="9134.0689300000013"/>
    <n v="0.23977855661340569"/>
  </r>
  <r>
    <n v="547"/>
    <s v="FMCG-2025-017303"/>
    <x v="15"/>
    <x v="9"/>
    <s v="South"/>
    <s v="Hyderabad"/>
    <s v="Nikhil Bhat"/>
    <s v="B2B"/>
    <x v="3"/>
    <x v="1"/>
    <x v="1"/>
    <x v="21"/>
    <n v="841"/>
    <n v="144.89999999999998"/>
    <n v="0.19020000000000001"/>
    <n v="121860.89999999998"/>
    <n v="8605.1"/>
    <n v="54758.549999999996"/>
    <n v="4130.7"/>
    <n v="98682.956819999978"/>
    <n v="31188.606819999986"/>
    <n v="0.31604856426108852"/>
  </r>
  <r>
    <n v="548"/>
    <s v="FMCG-2025-017342"/>
    <x v="278"/>
    <x v="5"/>
    <s v="South"/>
    <s v="Bengaluru"/>
    <s v="Aarav Malhotra"/>
    <s v="B2B"/>
    <x v="3"/>
    <x v="4"/>
    <x v="3"/>
    <x v="5"/>
    <n v="473"/>
    <n v="137.9"/>
    <n v="0.2455"/>
    <n v="65226.700000000004"/>
    <n v="4919.6000000000004"/>
    <n v="31736.25"/>
    <n v="2520.6999999999998"/>
    <n v="49213.545149999998"/>
    <n v="10036.995150000001"/>
    <n v="0.20394781801245629"/>
  </r>
  <r>
    <n v="549"/>
    <s v="FMCG-2025-017364"/>
    <x v="145"/>
    <x v="3"/>
    <s v="South"/>
    <s v="Hyderabad"/>
    <s v="Rizwan Khan"/>
    <s v="B2B"/>
    <x v="0"/>
    <x v="4"/>
    <x v="2"/>
    <x v="22"/>
    <n v="91"/>
    <n v="143.5"/>
    <n v="0.16600000000000001"/>
    <n v="13058.5"/>
    <n v="1723.4"/>
    <n v="6471.15"/>
    <n v="825.3"/>
    <n v="10890.788999999999"/>
    <n v="1870.9389999999999"/>
    <n v="0.17179095105047026"/>
  </r>
  <r>
    <n v="550"/>
    <s v="FMCG-2025-017368"/>
    <x v="31"/>
    <x v="10"/>
    <s v="North"/>
    <s v="Delhi"/>
    <s v="Aarav Malhotra"/>
    <s v="B2B"/>
    <x v="2"/>
    <x v="2"/>
    <x v="2"/>
    <x v="16"/>
    <n v="297"/>
    <n v="301.34999999999997"/>
    <n v="0.14699999999999999"/>
    <n v="89500.95"/>
    <n v="9307.5500000000011"/>
    <n v="40385.1"/>
    <n v="4534.6000000000004"/>
    <n v="76344.31035"/>
    <n v="22117.060349999992"/>
    <n v="0.28970148854059291"/>
  </r>
  <r>
    <n v="551"/>
    <s v="FMCG-2025-017397"/>
    <x v="290"/>
    <x v="11"/>
    <s v="South"/>
    <s v="Bengaluru"/>
    <s v="Farah Siddiqui"/>
    <s v="B2C"/>
    <x v="1"/>
    <x v="3"/>
    <x v="1"/>
    <x v="25"/>
    <n v="41"/>
    <n v="58.8"/>
    <n v="6.1900000000000004E-2"/>
    <n v="2410.7999999999997"/>
    <n v="417.9"/>
    <n v="1215.9000000000001"/>
    <n v="227.15"/>
    <n v="2261.5714800000001"/>
    <n v="400.62147999999991"/>
    <n v="0.17714296609364738"/>
  </r>
  <r>
    <n v="552"/>
    <s v="FMCG-2025-017433"/>
    <x v="66"/>
    <x v="2"/>
    <s v="South"/>
    <s v="Bengaluru"/>
    <s v="Aarav Malhotra"/>
    <s v="B2B"/>
    <x v="2"/>
    <x v="3"/>
    <x v="3"/>
    <x v="24"/>
    <n v="119"/>
    <n v="80.850000000000009"/>
    <n v="0.21920000000000001"/>
    <n v="9621.1500000000015"/>
    <n v="717.85"/>
    <n v="5141.8499999999995"/>
    <n v="529.9"/>
    <n v="7512.1939200000006"/>
    <n v="1122.5939200000016"/>
    <n v="0.14943622754616023"/>
  </r>
  <r>
    <n v="553"/>
    <s v="FMCG-2025-017453"/>
    <x v="176"/>
    <x v="3"/>
    <s v="West"/>
    <s v="Mumbai"/>
    <s v="Nikhil Bhat"/>
    <s v="B2B"/>
    <x v="2"/>
    <x v="1"/>
    <x v="3"/>
    <x v="13"/>
    <n v="288"/>
    <n v="125.64999999999999"/>
    <n v="0.2014"/>
    <n v="36187.199999999997"/>
    <n v="3159.45"/>
    <n v="16036.300000000001"/>
    <n v="1992.55"/>
    <n v="28899.097919999997"/>
    <n v="7710.7979199999963"/>
    <n v="0.26681794502186307"/>
  </r>
  <r>
    <n v="554"/>
    <s v="FMCG-2025-017478"/>
    <x v="282"/>
    <x v="7"/>
    <s v="North"/>
    <s v="Delhi"/>
    <s v="Diya Kapoor"/>
    <s v="B2B"/>
    <x v="3"/>
    <x v="6"/>
    <x v="2"/>
    <x v="22"/>
    <n v="299"/>
    <n v="131.6"/>
    <n v="0.27129999999999999"/>
    <n v="39348.400000000001"/>
    <n v="3183.95"/>
    <n v="16450"/>
    <n v="1567.3"/>
    <n v="28673.179080000002"/>
    <n v="7471.9290800000026"/>
    <n v="0.26058948884436017"/>
  </r>
  <r>
    <n v="555"/>
    <s v="FMCG-2025-017512"/>
    <x v="291"/>
    <x v="11"/>
    <s v="West"/>
    <s v="Mumbai"/>
    <s v="Farah Siddiqui"/>
    <s v="B2B"/>
    <x v="2"/>
    <x v="1"/>
    <x v="2"/>
    <x v="22"/>
    <n v="528"/>
    <n v="120.05000000000001"/>
    <n v="0.17809999999999998"/>
    <n v="63386.400000000009"/>
    <n v="4047.4"/>
    <n v="29163.4"/>
    <n v="3490.2"/>
    <n v="52097.28216000001"/>
    <n v="15396.282160000012"/>
    <n v="0.29552946951657272"/>
  </r>
  <r>
    <n v="556"/>
    <s v="FMCG-2025-017530"/>
    <x v="26"/>
    <x v="5"/>
    <s v="North"/>
    <s v="Delhi"/>
    <s v="Rohan Iyer"/>
    <s v="B2C"/>
    <x v="1"/>
    <x v="1"/>
    <x v="4"/>
    <x v="28"/>
    <n v="12"/>
    <n v="72.100000000000009"/>
    <n v="0.12269999999999999"/>
    <n v="865.2"/>
    <n v="154"/>
    <n v="476"/>
    <n v="67.2"/>
    <n v="759.03996000000006"/>
    <n v="61.839960000000019"/>
    <n v="8.1471283804346761E-2"/>
  </r>
  <r>
    <n v="557"/>
    <s v="FMCG-2025-017544"/>
    <x v="232"/>
    <x v="4"/>
    <s v="South"/>
    <s v="Bengaluru"/>
    <s v="Farah Siddiqui"/>
    <s v="B2C"/>
    <x v="0"/>
    <x v="6"/>
    <x v="0"/>
    <x v="0"/>
    <n v="31"/>
    <n v="165.2"/>
    <n v="0.20929999999999999"/>
    <n v="5121.2"/>
    <n v="673.4"/>
    <n v="2368.4500000000003"/>
    <n v="289.09999999999997"/>
    <n v="4049.3328399999996"/>
    <n v="718.38283999999942"/>
    <n v="0.17740770353666444"/>
  </r>
  <r>
    <n v="558"/>
    <s v="FMCG-2025-017545"/>
    <x v="292"/>
    <x v="11"/>
    <s v="South"/>
    <s v="Bengaluru"/>
    <s v="Diya Kapoor"/>
    <s v="B2C"/>
    <x v="0"/>
    <x v="5"/>
    <x v="1"/>
    <x v="1"/>
    <n v="101"/>
    <n v="79.099999999999994"/>
    <n v="0.19329999999999997"/>
    <n v="7989.0999999999995"/>
    <n v="901.94999999999993"/>
    <n v="3521.35"/>
    <n v="410.20000000000005"/>
    <n v="6444.8069699999996"/>
    <n v="1611.3069700000001"/>
    <n v="0.25001632748668656"/>
  </r>
  <r>
    <n v="559"/>
    <s v="FMCG-2025-017671"/>
    <x v="293"/>
    <x v="4"/>
    <s v="South"/>
    <s v="Bengaluru"/>
    <s v="Rohan Iyer"/>
    <s v="B2C"/>
    <x v="0"/>
    <x v="5"/>
    <x v="0"/>
    <x v="23"/>
    <n v="74"/>
    <n v="191.8"/>
    <n v="0.17379999999999998"/>
    <n v="14193.2"/>
    <n v="1576.05"/>
    <n v="6441.75"/>
    <n v="886.55"/>
    <n v="11726.421840000001"/>
    <n v="2822.0718400000014"/>
    <n v="0.24065924614562573"/>
  </r>
  <r>
    <n v="560"/>
    <s v="FMCG-2025-017680"/>
    <x v="294"/>
    <x v="0"/>
    <s v="South"/>
    <s v="Bengaluru"/>
    <s v="Aarav Malhotra"/>
    <s v="B2B"/>
    <x v="2"/>
    <x v="3"/>
    <x v="3"/>
    <x v="13"/>
    <n v="128"/>
    <n v="127.4"/>
    <n v="0.1573"/>
    <n v="16307.2"/>
    <n v="1622.25"/>
    <n v="8688.75"/>
    <n v="915.6"/>
    <n v="13742.077440000001"/>
    <n v="2515.4774400000006"/>
    <n v="0.18304928428637937"/>
  </r>
  <r>
    <n v="561"/>
    <s v="FMCG-2025-017749"/>
    <x v="30"/>
    <x v="2"/>
    <s v="West"/>
    <s v="Mumbai"/>
    <s v="Aarav Malhotra"/>
    <s v="B2C"/>
    <x v="1"/>
    <x v="3"/>
    <x v="3"/>
    <x v="5"/>
    <n v="84"/>
    <n v="141.05000000000001"/>
    <n v="6.7299999999999999E-2"/>
    <n v="11848.2"/>
    <n v="2156.35"/>
    <n v="7043.75"/>
    <n v="1141.6999999999998"/>
    <n v="11050.816140000001"/>
    <n v="709.016140000002"/>
    <n v="6.4159617807196812E-2"/>
  </r>
  <r>
    <n v="562"/>
    <s v="FMCG-2025-017780"/>
    <x v="122"/>
    <x v="4"/>
    <s v="West"/>
    <s v="Mumbai"/>
    <s v="Anika Verma"/>
    <s v="B2B"/>
    <x v="3"/>
    <x v="2"/>
    <x v="4"/>
    <x v="28"/>
    <n v="756"/>
    <n v="65.45"/>
    <n v="0.20469999999999999"/>
    <n v="49480.200000000004"/>
    <n v="4843.3"/>
    <n v="24012.800000000003"/>
    <n v="1997.45"/>
    <n v="39351.603060000001"/>
    <n v="8498.053060000002"/>
    <n v="0.21595189011850136"/>
  </r>
  <r>
    <n v="563"/>
    <s v="FMCG-2025-017798"/>
    <x v="220"/>
    <x v="2"/>
    <s v="South"/>
    <s v="Bengaluru"/>
    <s v="Nikhil Bhat"/>
    <s v="B2B"/>
    <x v="0"/>
    <x v="1"/>
    <x v="3"/>
    <x v="24"/>
    <n v="199"/>
    <n v="77.7"/>
    <n v="0.19570000000000001"/>
    <n v="15462.300000000001"/>
    <n v="1574.65"/>
    <n v="9004.7999999999993"/>
    <n v="953.4"/>
    <n v="12436.32789"/>
    <n v="903.47789000000148"/>
    <n v="7.2648284766316296E-2"/>
  </r>
  <r>
    <n v="564"/>
    <s v="FMCG-2025-017818"/>
    <x v="269"/>
    <x v="4"/>
    <s v="South"/>
    <s v="Bengaluru"/>
    <s v="Farah Siddiqui"/>
    <s v="B2C"/>
    <x v="1"/>
    <x v="3"/>
    <x v="4"/>
    <x v="27"/>
    <n v="107"/>
    <n v="106.4"/>
    <n v="7.5300000000000006E-2"/>
    <n v="11384.800000000001"/>
    <n v="1817.8999999999999"/>
    <n v="6235.5999999999995"/>
    <n v="957.6"/>
    <n v="10527.52456"/>
    <n v="1516.4245600000002"/>
    <n v="0.14404379219040267"/>
  </r>
  <r>
    <n v="565"/>
    <s v="FMCG-2025-017834"/>
    <x v="174"/>
    <x v="9"/>
    <s v="North"/>
    <s v="Delhi"/>
    <s v="Nikhil Bhat"/>
    <s v="B2C"/>
    <x v="1"/>
    <x v="0"/>
    <x v="3"/>
    <x v="26"/>
    <n v="83"/>
    <n v="271.25"/>
    <n v="6.3799999999999996E-2"/>
    <n v="22513.75"/>
    <n v="2978.5"/>
    <n v="13523.65"/>
    <n v="2332.0499999999997"/>
    <n v="21077.372750000002"/>
    <n v="2243.1727500000034"/>
    <n v="0.10642563362172371"/>
  </r>
  <r>
    <n v="566"/>
    <s v="FMCG-2025-017844"/>
    <x v="152"/>
    <x v="0"/>
    <s v="North"/>
    <s v="Delhi"/>
    <s v="Diya Kapoor"/>
    <s v="B2C"/>
    <x v="1"/>
    <x v="2"/>
    <x v="1"/>
    <x v="4"/>
    <n v="16"/>
    <n v="189.7"/>
    <n v="8.8200000000000001E-2"/>
    <n v="3035.2"/>
    <n v="395.5"/>
    <n v="1594.6000000000001"/>
    <n v="278.25"/>
    <n v="2767.4953599999994"/>
    <n v="499.1453599999993"/>
    <n v="0.18035996273540253"/>
  </r>
  <r>
    <n v="567"/>
    <s v="FMCG-2025-017912"/>
    <x v="249"/>
    <x v="7"/>
    <s v="North"/>
    <s v="Delhi"/>
    <s v="Rohan Iyer"/>
    <s v="B2B"/>
    <x v="2"/>
    <x v="1"/>
    <x v="1"/>
    <x v="17"/>
    <n v="609"/>
    <n v="172.9"/>
    <n v="0.1573"/>
    <n v="105296.1"/>
    <n v="6814.85"/>
    <n v="51076.899999999994"/>
    <n v="4558.0499999999993"/>
    <n v="88733.02347"/>
    <n v="26283.223470000004"/>
    <n v="0.2962056564981827"/>
  </r>
  <r>
    <n v="568"/>
    <s v="FMCG-2025-018037"/>
    <x v="295"/>
    <x v="5"/>
    <s v="South"/>
    <s v="Hyderabad"/>
    <s v="Anika Verma"/>
    <s v="B2C"/>
    <x v="0"/>
    <x v="2"/>
    <x v="0"/>
    <x v="0"/>
    <n v="152"/>
    <n v="171.85"/>
    <n v="2.2700000000000001E-2"/>
    <n v="26121.200000000001"/>
    <n v="2270.7999999999997"/>
    <n v="13129.2"/>
    <n v="1844.5"/>
    <n v="25528.248759999999"/>
    <n v="8283.7487599999986"/>
    <n v="0.3244934205193008"/>
  </r>
  <r>
    <n v="569"/>
    <s v="FMCG-2025-018041"/>
    <x v="220"/>
    <x v="2"/>
    <s v="West"/>
    <s v="Mumbai"/>
    <s v="Diya Kapoor"/>
    <s v="B2B"/>
    <x v="0"/>
    <x v="2"/>
    <x v="3"/>
    <x v="8"/>
    <n v="81"/>
    <n v="79.45"/>
    <n v="7.4299999999999991E-2"/>
    <n v="6435.45"/>
    <n v="767.55"/>
    <n v="4389"/>
    <n v="490"/>
    <n v="5957.2960649999995"/>
    <n v="310.74606499999959"/>
    <n v="5.2162266506390199E-2"/>
  </r>
  <r>
    <n v="570"/>
    <s v="FMCG-2025-018057"/>
    <x v="124"/>
    <x v="6"/>
    <s v="South"/>
    <s v="Hyderabad"/>
    <s v="Anika Verma"/>
    <s v="B2C"/>
    <x v="1"/>
    <x v="1"/>
    <x v="4"/>
    <x v="14"/>
    <n v="68"/>
    <n v="104.3"/>
    <n v="8.8800000000000004E-2"/>
    <n v="7092.4"/>
    <n v="1282.0500000000002"/>
    <n v="3462.9"/>
    <n v="709.80000000000007"/>
    <n v="6462.5948799999996"/>
    <n v="1007.8448799999992"/>
    <n v="0.15595049646683087"/>
  </r>
  <r>
    <n v="571"/>
    <s v="FMCG-2025-018089"/>
    <x v="190"/>
    <x v="4"/>
    <s v="South"/>
    <s v="Bengaluru"/>
    <s v="Anika Verma"/>
    <s v="B2C"/>
    <x v="1"/>
    <x v="3"/>
    <x v="3"/>
    <x v="5"/>
    <n v="50"/>
    <n v="155.75"/>
    <n v="8.9800000000000005E-2"/>
    <n v="7787.5"/>
    <n v="1133.6500000000001"/>
    <n v="4681.9500000000007"/>
    <n v="698.6"/>
    <n v="7088.1824999999999"/>
    <n v="573.98249999999871"/>
    <n v="8.097738736269823E-2"/>
  </r>
  <r>
    <n v="572"/>
    <s v="FMCG-2025-018108"/>
    <x v="190"/>
    <x v="4"/>
    <s v="North"/>
    <s v="Delhi"/>
    <s v="Rohan Iyer"/>
    <s v="B2C"/>
    <x v="0"/>
    <x v="2"/>
    <x v="3"/>
    <x v="26"/>
    <n v="30"/>
    <n v="274.75"/>
    <n v="8.8200000000000001E-2"/>
    <n v="8242.5"/>
    <n v="963.55000000000007"/>
    <n v="4810.75"/>
    <n v="636.29999999999995"/>
    <n v="7515.5114999999996"/>
    <n v="1104.9114999999993"/>
    <n v="0.1470174717981603"/>
  </r>
  <r>
    <n v="573"/>
    <s v="FMCG-2025-018111"/>
    <x v="236"/>
    <x v="6"/>
    <s v="West"/>
    <s v="Mumbai"/>
    <s v="Rohan Iyer"/>
    <s v="B2B"/>
    <x v="3"/>
    <x v="3"/>
    <x v="1"/>
    <x v="21"/>
    <n v="791"/>
    <n v="138.6"/>
    <n v="0.2477"/>
    <n v="109632.59999999999"/>
    <n v="5931.1"/>
    <n v="48877.15"/>
    <n v="4049.5"/>
    <n v="82476.604979999989"/>
    <n v="23618.854979999989"/>
    <n v="0.28637035903366048"/>
  </r>
  <r>
    <n v="574"/>
    <s v="FMCG-2025-018221"/>
    <x v="296"/>
    <x v="8"/>
    <s v="South"/>
    <s v="Hyderabad"/>
    <s v="Diya Kapoor"/>
    <s v="B2C"/>
    <x v="1"/>
    <x v="3"/>
    <x v="2"/>
    <x v="18"/>
    <n v="109"/>
    <n v="145.25"/>
    <n v="7.0999999999999994E-2"/>
    <n v="15832.25"/>
    <n v="2924.25"/>
    <n v="7535.15"/>
    <n v="1791.3"/>
    <n v="14708.160250000001"/>
    <n v="2457.4602500000019"/>
    <n v="0.1670814165898146"/>
  </r>
  <r>
    <n v="575"/>
    <s v="FMCG-2025-018233"/>
    <x v="16"/>
    <x v="3"/>
    <s v="North"/>
    <s v="Delhi"/>
    <s v="Rizwan Khan"/>
    <s v="B2B"/>
    <x v="2"/>
    <x v="2"/>
    <x v="3"/>
    <x v="13"/>
    <n v="349"/>
    <n v="119.7"/>
    <n v="0.10189999999999999"/>
    <n v="41775.300000000003"/>
    <n v="2291.8000000000002"/>
    <n v="22466.85"/>
    <n v="2204.2999999999997"/>
    <n v="37518.396930000003"/>
    <n v="10555.446930000002"/>
    <n v="0.281340563395974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99B0FE-DAB7-4F23-BC85-1B6724982EDB}" name="cost pie"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0">
  <location ref="A114:C115" firstHeaderRow="0" firstDataRow="1" firstDataCol="0"/>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showAll="0">
      <items count="5">
        <item x="2"/>
        <item x="0"/>
        <item x="1"/>
        <item x="3"/>
        <item t="default"/>
      </items>
    </pivotField>
    <pivotField showAll="0">
      <items count="8">
        <item x="1"/>
        <item x="4"/>
        <item x="5"/>
        <item x="6"/>
        <item x="0"/>
        <item x="2"/>
        <item x="3"/>
        <item t="default"/>
      </items>
    </pivotField>
    <pivotField showAll="0">
      <items count="6">
        <item x="3"/>
        <item x="1"/>
        <item x="2"/>
        <item x="0"/>
        <item x="4"/>
        <item t="default"/>
      </items>
    </pivotField>
    <pivotField showAll="0"/>
    <pivotField numFmtId="2" showAll="0"/>
    <pivotField numFmtId="164" showAll="0"/>
    <pivotField numFmtId="10" showAll="0"/>
    <pivotField numFmtId="164" showAll="0"/>
    <pivotField numFmtId="164" showAll="0"/>
    <pivotField numFmtId="164" showAll="0"/>
    <pivotField numFmtId="164" showAll="0"/>
    <pivotField numFmtId="164" showAll="0"/>
    <pivotField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Sum of Marketing%" fld="25" baseField="0" baseItem="0" numFmtId="10"/>
    <dataField name="Sum of Logistics%" fld="26" baseField="0" baseItem="0" numFmtId="10"/>
    <dataField name="Sum of COGS %" fld="29" baseField="0" baseItem="0" numFmtId="10"/>
  </dataFields>
  <formats count="2">
    <format dxfId="53">
      <pivotArea outline="0" collapsedLevelsAreSubtotals="1" fieldPosition="0">
        <references count="1">
          <reference field="4294967294" count="3" selected="0">
            <x v="0"/>
            <x v="1"/>
            <x v="2"/>
          </reference>
        </references>
      </pivotArea>
    </format>
    <format dxfId="5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B160AC-96C7-498F-AD37-E6171C8559F5}" name="channel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29:L34" firstHeaderRow="0" firstDataRow="1" firstDataCol="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8">
        <item x="1"/>
        <item x="4"/>
        <item x="5"/>
        <item x="6"/>
        <item x="0"/>
        <item x="2"/>
        <item x="3"/>
        <item t="default"/>
      </items>
    </pivotField>
    <pivotField showAll="0">
      <items count="6">
        <item x="3"/>
        <item x="1"/>
        <item x="2"/>
        <item x="0"/>
        <item x="4"/>
        <item t="default"/>
      </items>
    </pivotField>
    <pivotField showAll="0"/>
    <pivotField numFmtId="2" showAll="0"/>
    <pivotField numFmtId="164" showAll="0"/>
    <pivotField numFmtId="10" showAll="0"/>
    <pivotField numFmtId="164" showAll="0"/>
    <pivotField numFmtId="164" showAll="0"/>
    <pivotField numFmtId="164" showAll="0"/>
    <pivotField numFmtId="164" showAll="0"/>
    <pivotField dataField="1" numFmtId="164" showAll="0"/>
    <pivotField dataField="1"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i>
    <i>
      <x v="3"/>
    </i>
    <i>
      <x v="1"/>
    </i>
    <i>
      <x v="2"/>
    </i>
    <i t="grand">
      <x/>
    </i>
  </rowItems>
  <colFields count="1">
    <field x="-2"/>
  </colFields>
  <colItems count="2">
    <i>
      <x/>
    </i>
    <i i="1">
      <x v="1"/>
    </i>
  </colItems>
  <dataFields count="2">
    <dataField name="Revenue" fld="19" baseField="0" baseItem="0" numFmtId="164"/>
    <dataField name="Profit" fld="20" baseField="0" baseItem="0" numFmtId="164"/>
  </dataFields>
  <formats count="1">
    <format dxfId="54">
      <pivotArea collapsedLevelsAreSubtotals="1" fieldPosition="0">
        <references count="1">
          <reference field="8"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A2CF0-9E88-4A0A-B952-D7F429CD6FFB}" name="bottom 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4:B230" firstHeaderRow="1" firstDataRow="1" firstDataCol="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showAll="0">
      <items count="5">
        <item x="2"/>
        <item x="0"/>
        <item x="1"/>
        <item x="3"/>
        <item t="default"/>
      </items>
    </pivotField>
    <pivotField showAll="0">
      <items count="8">
        <item x="1"/>
        <item x="4"/>
        <item x="5"/>
        <item x="6"/>
        <item x="0"/>
        <item x="2"/>
        <item x="3"/>
        <item t="default"/>
      </items>
    </pivotField>
    <pivotField showAll="0">
      <items count="6">
        <item x="3"/>
        <item x="1"/>
        <item x="2"/>
        <item x="0"/>
        <item x="4"/>
        <item t="default"/>
      </items>
    </pivotField>
    <pivotField axis="axisRow" showAll="0" measureFilter="1" sortType="descending">
      <items count="31">
        <item x="0"/>
        <item x="21"/>
        <item x="7"/>
        <item x="23"/>
        <item x="22"/>
        <item x="10"/>
        <item x="13"/>
        <item x="2"/>
        <item x="4"/>
        <item x="1"/>
        <item x="5"/>
        <item x="6"/>
        <item x="26"/>
        <item x="16"/>
        <item x="20"/>
        <item x="3"/>
        <item x="17"/>
        <item x="28"/>
        <item x="15"/>
        <item x="27"/>
        <item x="14"/>
        <item x="11"/>
        <item x="24"/>
        <item x="8"/>
        <item x="18"/>
        <item x="19"/>
        <item x="12"/>
        <item x="29"/>
        <item x="9"/>
        <item x="25"/>
        <item t="default"/>
      </items>
      <autoSortScope>
        <pivotArea dataOnly="0" outline="0" fieldPosition="0">
          <references count="1">
            <reference field="4294967294" count="1" selected="0">
              <x v="0"/>
            </reference>
          </references>
        </pivotArea>
      </autoSortScope>
    </pivotField>
    <pivotField numFmtId="2" showAll="0"/>
    <pivotField numFmtId="164" showAll="0"/>
    <pivotField numFmtId="10" showAll="0"/>
    <pivotField numFmtId="164" showAll="0"/>
    <pivotField numFmtId="164" showAll="0"/>
    <pivotField numFmtId="164" showAll="0"/>
    <pivotField numFmtId="164" showAll="0"/>
    <pivotField numFmtId="164" showAll="0"/>
    <pivotField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11"/>
  </rowFields>
  <rowItems count="6">
    <i>
      <x v="17"/>
    </i>
    <i>
      <x v="23"/>
    </i>
    <i>
      <x v="10"/>
    </i>
    <i>
      <x v="12"/>
    </i>
    <i>
      <x v="22"/>
    </i>
    <i t="grand">
      <x/>
    </i>
  </rowItems>
  <colItems count="1">
    <i/>
  </colItems>
  <dataFields count="1">
    <dataField name="Sum of Margin" fld="27" baseField="0" baseItem="0" numFmtId="164"/>
  </dataFields>
  <formats count="2">
    <format dxfId="56">
      <pivotArea collapsedLevelsAreSubtotals="1" fieldPosition="0">
        <references count="1">
          <reference field="11" count="0"/>
        </references>
      </pivotArea>
    </format>
    <format dxfId="55">
      <pivotArea collapsedLevelsAreSubtotals="1" fieldPosition="0">
        <references count="1">
          <reference field="11" count="10">
            <x v="5"/>
            <x v="6"/>
            <x v="10"/>
            <x v="12"/>
            <x v="15"/>
            <x v="17"/>
            <x v="18"/>
            <x v="19"/>
            <x v="22"/>
            <x v="23"/>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0ECD39-1701-41A4-AB05-FCA44F1E5046}" name="promo analysis"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8">
  <location ref="A57:D65" firstHeaderRow="0" firstDataRow="1" firstDataCol="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showAll="0">
      <items count="5">
        <item x="2"/>
        <item x="0"/>
        <item x="1"/>
        <item x="3"/>
        <item t="default"/>
      </items>
    </pivotField>
    <pivotField axis="axisRow" showAll="0" sortType="ascending">
      <items count="8">
        <item x="1"/>
        <item x="4"/>
        <item x="5"/>
        <item x="6"/>
        <item x="0"/>
        <item x="2"/>
        <item x="3"/>
        <item t="default"/>
      </items>
      <autoSortScope>
        <pivotArea dataOnly="0" outline="0" fieldPosition="0">
          <references count="1">
            <reference field="4294967294" count="1" selected="0">
              <x v="2"/>
            </reference>
          </references>
        </pivotArea>
      </autoSortScope>
    </pivotField>
    <pivotField showAll="0">
      <items count="6">
        <item x="3"/>
        <item x="1"/>
        <item x="2"/>
        <item x="0"/>
        <item x="4"/>
        <item t="default"/>
      </items>
    </pivotField>
    <pivotField showAll="0"/>
    <pivotField numFmtId="2" showAll="0"/>
    <pivotField numFmtId="164" showAll="0"/>
    <pivotField numFmtId="10" showAll="0"/>
    <pivotField numFmtId="164" showAll="0"/>
    <pivotField numFmtId="164" showAll="0"/>
    <pivotField numFmtId="164" showAll="0"/>
    <pivotField numFmtId="164" showAll="0"/>
    <pivotField dataField="1" numFmtId="164" showAll="0"/>
    <pivotField dataField="1"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9"/>
  </rowFields>
  <rowItems count="8">
    <i>
      <x v="5"/>
    </i>
    <i>
      <x v="4"/>
    </i>
    <i>
      <x v="6"/>
    </i>
    <i>
      <x/>
    </i>
    <i>
      <x v="1"/>
    </i>
    <i>
      <x v="2"/>
    </i>
    <i>
      <x v="3"/>
    </i>
    <i t="grand">
      <x/>
    </i>
  </rowItems>
  <colFields count="1">
    <field x="-2"/>
  </colFields>
  <colItems count="3">
    <i>
      <x/>
    </i>
    <i i="1">
      <x v="1"/>
    </i>
    <i i="2">
      <x v="2"/>
    </i>
  </colItems>
  <dataFields count="3">
    <dataField name="Revenue" fld="19" baseField="0" baseItem="0" numFmtId="164"/>
    <dataField name="Profit" fld="20" baseField="0" baseItem="0" numFmtId="164"/>
    <dataField name="Discount %" fld="28" baseField="0" baseItem="0" numFmtId="9"/>
  </dataFields>
  <formats count="2">
    <format dxfId="58">
      <pivotArea outline="0" collapsedLevelsAreSubtotals="1" fieldPosition="0">
        <references count="1">
          <reference field="4294967294" count="1" selected="0">
            <x v="2"/>
          </reference>
        </references>
      </pivotArea>
    </format>
    <format dxfId="57">
      <pivotArea collapsedLevelsAreSubtotals="1" fieldPosition="0">
        <references count="2">
          <reference field="4294967294" count="2" selected="0">
            <x v="0"/>
            <x v="1"/>
          </reference>
          <reference field="9" count="0"/>
        </references>
      </pivotArea>
    </format>
  </formats>
  <chartFormats count="3">
    <chartFormat chart="26" format="19" series="1">
      <pivotArea type="data" outline="0" fieldPosition="0">
        <references count="1">
          <reference field="4294967294" count="1" selected="0">
            <x v="0"/>
          </reference>
        </references>
      </pivotArea>
    </chartFormat>
    <chartFormat chart="26" format="20" series="1">
      <pivotArea type="data" outline="0" fieldPosition="0">
        <references count="1">
          <reference field="4294967294" count="1" selected="0">
            <x v="1"/>
          </reference>
        </references>
      </pivotArea>
    </chartFormat>
    <chartFormat chart="26" format="2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B7AA6A-56E1-4560-92D2-C0B7469FB8C3}" name="cotegory wise sales"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2">
  <location ref="A93:D99" firstHeaderRow="0" firstDataRow="1" firstDataCol="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showAll="0">
      <items count="5">
        <item x="2"/>
        <item x="0"/>
        <item x="1"/>
        <item x="3"/>
        <item t="default"/>
      </items>
    </pivotField>
    <pivotField showAll="0">
      <items count="8">
        <item x="1"/>
        <item x="4"/>
        <item x="5"/>
        <item x="6"/>
        <item x="0"/>
        <item x="2"/>
        <item x="3"/>
        <item t="default"/>
      </items>
    </pivotField>
    <pivotField axis="axisRow" showAll="0" sortType="ascending">
      <items count="6">
        <item x="3"/>
        <item x="1"/>
        <item x="2"/>
        <item x="0"/>
        <item x="4"/>
        <item t="default"/>
      </items>
      <autoSortScope>
        <pivotArea dataOnly="0" outline="0" fieldPosition="0">
          <references count="1">
            <reference field="4294967294" count="1" selected="0">
              <x v="2"/>
            </reference>
          </references>
        </pivotArea>
      </autoSortScope>
    </pivotField>
    <pivotField showAll="0"/>
    <pivotField numFmtId="2" showAll="0"/>
    <pivotField numFmtId="164" showAll="0"/>
    <pivotField numFmtId="10" showAll="0"/>
    <pivotField numFmtId="164" showAll="0"/>
    <pivotField numFmtId="164" showAll="0"/>
    <pivotField numFmtId="164" showAll="0"/>
    <pivotField numFmtId="164" showAll="0"/>
    <pivotField dataField="1" numFmtId="164" showAll="0"/>
    <pivotField dataField="1"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10"/>
  </rowFields>
  <rowItems count="6">
    <i>
      <x/>
    </i>
    <i>
      <x v="4"/>
    </i>
    <i>
      <x v="2"/>
    </i>
    <i>
      <x v="1"/>
    </i>
    <i>
      <x v="3"/>
    </i>
    <i t="grand">
      <x/>
    </i>
  </rowItems>
  <colFields count="1">
    <field x="-2"/>
  </colFields>
  <colItems count="3">
    <i>
      <x/>
    </i>
    <i i="1">
      <x v="1"/>
    </i>
    <i i="2">
      <x v="2"/>
    </i>
  </colItems>
  <dataFields count="3">
    <dataField name="Revenue" fld="19" baseField="0" baseItem="0" numFmtId="165"/>
    <dataField name="Profit" fld="20" baseField="0" baseItem="0" numFmtId="165"/>
    <dataField name="Profit Margin" fld="27" baseField="10" baseItem="0" numFmtId="10"/>
  </dataFields>
  <formats count="3">
    <format dxfId="61">
      <pivotArea outline="0" collapsedLevelsAreSubtotals="1" fieldPosition="0">
        <references count="1">
          <reference field="4294967294" count="2" selected="0">
            <x v="0"/>
            <x v="1"/>
          </reference>
        </references>
      </pivotArea>
    </format>
    <format dxfId="60">
      <pivotArea collapsedLevelsAreSubtotals="1" fieldPosition="0">
        <references count="2">
          <reference field="4294967294" count="2" selected="0">
            <x v="0"/>
            <x v="1"/>
          </reference>
          <reference field="10" count="0"/>
        </references>
      </pivotArea>
    </format>
    <format dxfId="59">
      <pivotArea outline="0" collapsedLevelsAreSubtotals="1" fieldPosition="0">
        <references count="1">
          <reference field="4294967294" count="1" selected="0">
            <x v="2"/>
          </reference>
        </references>
      </pivotArea>
    </format>
  </formats>
  <chartFormats count="6">
    <chartFormat chart="27"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2"/>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494F43-4B8C-4D65-8799-1C0B2565E97E}" name="channel wise cost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9:H34" firstHeaderRow="0" firstDataRow="1" firstDataCol="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6"/>
            </reference>
          </references>
        </pivotArea>
      </autoSortScope>
    </pivotField>
    <pivotField showAll="0">
      <items count="8">
        <item x="1"/>
        <item x="4"/>
        <item x="5"/>
        <item x="6"/>
        <item x="0"/>
        <item x="2"/>
        <item x="3"/>
        <item t="default"/>
      </items>
    </pivotField>
    <pivotField showAll="0">
      <items count="6">
        <item x="3"/>
        <item x="1"/>
        <item x="2"/>
        <item x="0"/>
        <item x="4"/>
        <item t="default"/>
      </items>
    </pivotField>
    <pivotField showAll="0"/>
    <pivotField numFmtId="2" showAll="0"/>
    <pivotField numFmtId="164" showAll="0"/>
    <pivotField numFmtId="10" showAll="0"/>
    <pivotField numFmtId="164" showAll="0"/>
    <pivotField dataField="1" numFmtId="164" showAll="0"/>
    <pivotField numFmtId="164" showAll="0"/>
    <pivotField dataField="1" numFmtId="164" showAll="0"/>
    <pivotField dataField="1" numFmtId="164" showAll="0"/>
    <pivotField dataField="1"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8"/>
  </rowFields>
  <rowItems count="5">
    <i>
      <x v="3"/>
    </i>
    <i>
      <x/>
    </i>
    <i>
      <x v="1"/>
    </i>
    <i>
      <x v="2"/>
    </i>
    <i t="grand">
      <x/>
    </i>
  </rowItems>
  <colFields count="1">
    <field x="-2"/>
  </colFields>
  <colItems count="7">
    <i>
      <x/>
    </i>
    <i i="1">
      <x v="1"/>
    </i>
    <i i="2">
      <x v="2"/>
    </i>
    <i i="3">
      <x v="3"/>
    </i>
    <i i="4">
      <x v="4"/>
    </i>
    <i i="5">
      <x v="5"/>
    </i>
    <i i="6">
      <x v="6"/>
    </i>
  </colItems>
  <dataFields count="7">
    <dataField name="Sum of Net_Revenue_INR" fld="19" baseField="0" baseItem="0" numFmtId="164"/>
    <dataField name="Sum of Profit_INR" fld="20" baseField="0" baseItem="0" numFmtId="164"/>
    <dataField name="Sum of Logistics_Cost_INR" fld="18" baseField="0" baseItem="0" numFmtId="164"/>
    <dataField name="Sum of Marketing_Spend_INR" fld="16" baseField="0" baseItem="0" numFmtId="164"/>
    <dataField name="Sum of Marketing%" fld="25" baseField="0" baseItem="0" numFmtId="9"/>
    <dataField name="Sum of Logistics%" fld="26" baseField="0" baseItem="0" numFmtId="9"/>
    <dataField name="Sum of Margin" fld="27" baseField="0" baseItem="0" numFmtId="9"/>
  </dataFields>
  <formats count="3">
    <format dxfId="64">
      <pivotArea collapsedLevelsAreSubtotals="1" fieldPosition="0">
        <references count="2">
          <reference field="4294967294" count="1" selected="0">
            <x v="5"/>
          </reference>
          <reference field="8" count="0"/>
        </references>
      </pivotArea>
    </format>
    <format dxfId="63">
      <pivotArea collapsedLevelsAreSubtotals="1" fieldPosition="0">
        <references count="2">
          <reference field="4294967294" count="1" selected="0">
            <x v="4"/>
          </reference>
          <reference field="8" count="0"/>
        </references>
      </pivotArea>
    </format>
    <format dxfId="62">
      <pivotArea outline="0" collapsedLevelsAreSubtotals="1" fieldPosition="0">
        <references count="1">
          <reference field="4294967294" count="3" selected="0">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186848-29F6-47CF-B396-9AF67A42D2B9}" name="prmo units vs margin"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7">
  <location ref="A78:C86" firstHeaderRow="0" firstDataRow="1" firstDataCol="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showAll="0">
      <items count="5">
        <item x="2"/>
        <item x="0"/>
        <item x="1"/>
        <item x="3"/>
        <item t="default"/>
      </items>
    </pivotField>
    <pivotField axis="axisRow" showAll="0" sortType="ascending">
      <items count="8">
        <item x="1"/>
        <item x="4"/>
        <item x="5"/>
        <item x="6"/>
        <item x="0"/>
        <item x="2"/>
        <item x="3"/>
        <item t="default"/>
      </items>
      <autoSortScope>
        <pivotArea dataOnly="0" outline="0" fieldPosition="0">
          <references count="1">
            <reference field="4294967294" count="1" selected="0">
              <x v="1"/>
            </reference>
          </references>
        </pivotArea>
      </autoSortScope>
    </pivotField>
    <pivotField showAll="0">
      <items count="6">
        <item x="3"/>
        <item x="1"/>
        <item x="2"/>
        <item x="0"/>
        <item x="4"/>
        <item t="default"/>
      </items>
    </pivotField>
    <pivotField showAll="0"/>
    <pivotField dataField="1" numFmtId="2" showAll="0"/>
    <pivotField numFmtId="164" showAll="0"/>
    <pivotField numFmtId="10" showAll="0"/>
    <pivotField numFmtId="164" showAll="0"/>
    <pivotField numFmtId="164" showAll="0"/>
    <pivotField numFmtId="164" showAll="0"/>
    <pivotField numFmtId="164" showAll="0"/>
    <pivotField numFmtId="164" showAll="0"/>
    <pivotField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9"/>
  </rowFields>
  <rowItems count="8">
    <i>
      <x v="5"/>
    </i>
    <i>
      <x v="4"/>
    </i>
    <i>
      <x v="6"/>
    </i>
    <i>
      <x/>
    </i>
    <i>
      <x v="1"/>
    </i>
    <i>
      <x v="2"/>
    </i>
    <i>
      <x v="3"/>
    </i>
    <i t="grand">
      <x/>
    </i>
  </rowItems>
  <colFields count="1">
    <field x="-2"/>
  </colFields>
  <colItems count="2">
    <i>
      <x/>
    </i>
    <i i="1">
      <x v="1"/>
    </i>
  </colItems>
  <dataFields count="2">
    <dataField name="Units Sold" fld="12" baseField="0" baseItem="0" numFmtId="2"/>
    <dataField name="Discount %" fld="28" baseField="0" baseItem="0" numFmtId="9"/>
  </dataFields>
  <formats count="2">
    <format dxfId="66">
      <pivotArea outline="0" collapsedLevelsAreSubtotals="1" fieldPosition="0">
        <references count="1">
          <reference field="4294967294" count="1" selected="0">
            <x v="1"/>
          </reference>
        </references>
      </pivotArea>
    </format>
    <format dxfId="65">
      <pivotArea collapsedLevelsAreSubtotals="1" fieldPosition="0">
        <references count="2">
          <reference field="4294967294" count="1" selected="0">
            <x v="0"/>
          </reference>
          <reference field="9" count="0"/>
        </references>
      </pivotArea>
    </format>
  </formats>
  <chartFormats count="3">
    <chartFormat chart="0" format="7"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A487B1-9FC6-4F34-8B88-0810AEE4C084}" name="monthly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0:C23" firstHeaderRow="0" firstDataRow="1" firstDataCol="1" rowPageCount="1" colPageCount="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pivotField showAll="0"/>
    <pivotField showAll="0"/>
    <pivotField showAll="0"/>
    <pivotField showAll="0"/>
    <pivotField showAll="0">
      <items count="5">
        <item x="2"/>
        <item x="0"/>
        <item x="1"/>
        <item x="3"/>
        <item t="default"/>
      </items>
    </pivotField>
    <pivotField showAll="0">
      <items count="8">
        <item x="1"/>
        <item x="4"/>
        <item x="5"/>
        <item x="6"/>
        <item x="0"/>
        <item x="2"/>
        <item x="3"/>
        <item t="default"/>
      </items>
    </pivotField>
    <pivotField axis="axisPage" showAll="0">
      <items count="6">
        <item x="3"/>
        <item x="1"/>
        <item x="2"/>
        <item x="0"/>
        <item x="4"/>
        <item t="default"/>
      </items>
    </pivotField>
    <pivotField showAll="0"/>
    <pivotField numFmtId="2" showAll="0"/>
    <pivotField numFmtId="164" showAll="0"/>
    <pivotField numFmtId="10" showAll="0"/>
    <pivotField numFmtId="164" showAll="0"/>
    <pivotField numFmtId="164" showAll="0"/>
    <pivotField numFmtId="164" showAll="0"/>
    <pivotField numFmtId="164" showAll="0"/>
    <pivotField dataField="1" numFmtId="164" showAll="0"/>
    <pivotField dataField="1" numFmtId="164" showAll="0"/>
    <pivotField numFmtId="10"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Fields count="1">
    <field x="-2"/>
  </colFields>
  <colItems count="2">
    <i>
      <x/>
    </i>
    <i i="1">
      <x v="1"/>
    </i>
  </colItems>
  <pageFields count="1">
    <pageField fld="10" hier="-1"/>
  </pageFields>
  <dataFields count="2">
    <dataField name="Total_Revenue_INR" fld="19" baseField="24" baseItem="1" numFmtId="164"/>
    <dataField name="Total_Profit_INR" fld="20" baseField="24" baseItem="1"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F111E6-0E8B-4799-9911-0F61BE6EE418}" name="Top 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2:B208" firstHeaderRow="1" firstDataRow="1" firstDataCol="1"/>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showAll="0">
      <items count="5">
        <item x="2"/>
        <item x="0"/>
        <item x="1"/>
        <item x="3"/>
        <item t="default"/>
      </items>
    </pivotField>
    <pivotField showAll="0">
      <items count="8">
        <item x="1"/>
        <item x="4"/>
        <item x="5"/>
        <item x="6"/>
        <item x="0"/>
        <item x="2"/>
        <item x="3"/>
        <item t="default"/>
      </items>
    </pivotField>
    <pivotField showAll="0">
      <items count="6">
        <item x="3"/>
        <item x="1"/>
        <item x="2"/>
        <item x="0"/>
        <item x="4"/>
        <item t="default"/>
      </items>
    </pivotField>
    <pivotField axis="axisRow" showAll="0" measureFilter="1" sortType="descending">
      <items count="31">
        <item x="0"/>
        <item x="21"/>
        <item x="7"/>
        <item x="23"/>
        <item x="22"/>
        <item x="10"/>
        <item x="13"/>
        <item x="2"/>
        <item x="4"/>
        <item x="1"/>
        <item x="5"/>
        <item x="6"/>
        <item x="26"/>
        <item x="16"/>
        <item x="20"/>
        <item x="3"/>
        <item x="17"/>
        <item x="28"/>
        <item x="15"/>
        <item x="27"/>
        <item x="14"/>
        <item x="11"/>
        <item x="24"/>
        <item x="8"/>
        <item x="18"/>
        <item x="19"/>
        <item x="12"/>
        <item x="29"/>
        <item x="9"/>
        <item x="25"/>
        <item t="default"/>
      </items>
      <autoSortScope>
        <pivotArea dataOnly="0" outline="0" fieldPosition="0">
          <references count="1">
            <reference field="4294967294" count="1" selected="0">
              <x v="0"/>
            </reference>
          </references>
        </pivotArea>
      </autoSortScope>
    </pivotField>
    <pivotField numFmtId="2" showAll="0"/>
    <pivotField numFmtId="164" showAll="0"/>
    <pivotField numFmtId="10" showAll="0"/>
    <pivotField numFmtId="164" showAll="0"/>
    <pivotField numFmtId="164" showAll="0"/>
    <pivotField numFmtId="164" showAll="0"/>
    <pivotField numFmtId="164" showAll="0"/>
    <pivotField dataField="1" numFmtId="164" showAll="0"/>
    <pivotField numFmtId="164" showAll="0"/>
    <pivotField numFmtId="10"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v="13"/>
    </i>
    <i>
      <x v="20"/>
    </i>
    <i>
      <x v="21"/>
    </i>
    <i>
      <x v="6"/>
    </i>
    <i>
      <x v="12"/>
    </i>
    <i t="grand">
      <x/>
    </i>
  </rowItems>
  <colItems count="1">
    <i/>
  </colItems>
  <dataFields count="1">
    <dataField name="Sum of Net_Revenue_INR" fld="19" baseField="0" baseItem="0" numFmtId="164"/>
  </dataFields>
  <formats count="2">
    <format dxfId="68">
      <pivotArea collapsedLevelsAreSubtotals="1" fieldPosition="0">
        <references count="1">
          <reference field="11" count="10">
            <x v="0"/>
            <x v="1"/>
            <x v="6"/>
            <x v="8"/>
            <x v="10"/>
            <x v="12"/>
            <x v="13"/>
            <x v="20"/>
            <x v="21"/>
            <x v="28"/>
          </reference>
        </references>
      </pivotArea>
    </format>
    <format dxfId="67">
      <pivotArea collapsedLevelsAreSubtotals="1" fieldPosition="0">
        <references count="1">
          <reference field="11" count="5">
            <x v="6"/>
            <x v="12"/>
            <x v="13"/>
            <x v="20"/>
            <x v="21"/>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4C01D4-08F5-42CB-B64F-C1532C2C97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30">
    <pivotField showAll="0"/>
    <pivotField showAll="0"/>
    <pivotField numFmtId="14" showAll="0">
      <items count="298">
        <item x="68"/>
        <item x="105"/>
        <item x="227"/>
        <item x="65"/>
        <item x="205"/>
        <item x="52"/>
        <item x="42"/>
        <item x="94"/>
        <item x="98"/>
        <item x="103"/>
        <item x="223"/>
        <item x="197"/>
        <item x="81"/>
        <item x="246"/>
        <item x="89"/>
        <item x="106"/>
        <item x="271"/>
        <item x="155"/>
        <item x="31"/>
        <item x="46"/>
        <item x="254"/>
        <item x="189"/>
        <item x="128"/>
        <item x="33"/>
        <item x="53"/>
        <item x="138"/>
        <item x="286"/>
        <item x="183"/>
        <item x="164"/>
        <item x="218"/>
        <item x="49"/>
        <item x="18"/>
        <item x="199"/>
        <item x="249"/>
        <item x="264"/>
        <item x="48"/>
        <item x="35"/>
        <item x="88"/>
        <item x="222"/>
        <item x="93"/>
        <item x="276"/>
        <item x="231"/>
        <item x="9"/>
        <item x="165"/>
        <item x="10"/>
        <item x="282"/>
        <item x="56"/>
        <item x="288"/>
        <item x="294"/>
        <item x="159"/>
        <item x="204"/>
        <item x="252"/>
        <item x="136"/>
        <item x="285"/>
        <item x="59"/>
        <item x="127"/>
        <item x="13"/>
        <item x="152"/>
        <item x="85"/>
        <item x="283"/>
        <item x="172"/>
        <item x="177"/>
        <item x="131"/>
        <item x="0"/>
        <item x="214"/>
        <item x="87"/>
        <item x="76"/>
        <item x="198"/>
        <item x="110"/>
        <item x="69"/>
        <item x="275"/>
        <item x="72"/>
        <item x="91"/>
        <item x="154"/>
        <item x="209"/>
        <item x="279"/>
        <item x="236"/>
        <item x="108"/>
        <item x="7"/>
        <item x="240"/>
        <item x="244"/>
        <item x="90"/>
        <item x="235"/>
        <item x="178"/>
        <item x="123"/>
        <item x="36"/>
        <item x="180"/>
        <item x="29"/>
        <item x="192"/>
        <item x="24"/>
        <item x="43"/>
        <item x="258"/>
        <item x="211"/>
        <item x="118"/>
        <item x="124"/>
        <item x="125"/>
        <item x="241"/>
        <item x="75"/>
        <item x="54"/>
        <item x="156"/>
        <item x="260"/>
        <item x="261"/>
        <item x="86"/>
        <item x="169"/>
        <item x="5"/>
        <item x="122"/>
        <item x="173"/>
        <item x="77"/>
        <item x="37"/>
        <item x="134"/>
        <item x="207"/>
        <item x="293"/>
        <item x="269"/>
        <item x="232"/>
        <item x="251"/>
        <item x="190"/>
        <item x="270"/>
        <item x="78"/>
        <item x="287"/>
        <item x="116"/>
        <item x="242"/>
        <item x="144"/>
        <item x="61"/>
        <item x="83"/>
        <item x="143"/>
        <item x="8"/>
        <item x="67"/>
        <item x="17"/>
        <item x="102"/>
        <item x="64"/>
        <item x="120"/>
        <item x="203"/>
        <item x="133"/>
        <item x="208"/>
        <item x="201"/>
        <item x="58"/>
        <item x="226"/>
        <item x="224"/>
        <item x="230"/>
        <item x="1"/>
        <item x="2"/>
        <item x="239"/>
        <item x="63"/>
        <item x="168"/>
        <item x="11"/>
        <item x="181"/>
        <item x="71"/>
        <item x="45"/>
        <item x="82"/>
        <item x="104"/>
        <item x="296"/>
        <item x="157"/>
        <item x="141"/>
        <item x="12"/>
        <item x="161"/>
        <item x="160"/>
        <item x="265"/>
        <item x="188"/>
        <item x="195"/>
        <item x="146"/>
        <item x="55"/>
        <item x="185"/>
        <item x="256"/>
        <item x="149"/>
        <item x="84"/>
        <item x="182"/>
        <item x="216"/>
        <item x="259"/>
        <item x="139"/>
        <item x="109"/>
        <item x="179"/>
        <item x="14"/>
        <item x="113"/>
        <item x="115"/>
        <item x="27"/>
        <item x="228"/>
        <item x="28"/>
        <item x="60"/>
        <item x="166"/>
        <item x="135"/>
        <item x="26"/>
        <item x="247"/>
        <item x="151"/>
        <item x="137"/>
        <item x="6"/>
        <item x="272"/>
        <item x="62"/>
        <item x="245"/>
        <item x="266"/>
        <item x="210"/>
        <item x="237"/>
        <item x="278"/>
        <item x="171"/>
        <item x="187"/>
        <item x="57"/>
        <item x="79"/>
        <item x="253"/>
        <item x="295"/>
        <item x="213"/>
        <item x="97"/>
        <item x="255"/>
        <item x="167"/>
        <item x="225"/>
        <item x="206"/>
        <item x="175"/>
        <item x="40"/>
        <item x="47"/>
        <item x="92"/>
        <item x="111"/>
        <item x="114"/>
        <item x="119"/>
        <item x="176"/>
        <item x="25"/>
        <item x="280"/>
        <item x="96"/>
        <item x="74"/>
        <item x="16"/>
        <item x="95"/>
        <item x="145"/>
        <item x="186"/>
        <item x="238"/>
        <item x="4"/>
        <item x="117"/>
        <item x="219"/>
        <item x="257"/>
        <item x="233"/>
        <item x="193"/>
        <item x="284"/>
        <item x="15"/>
        <item x="19"/>
        <item x="99"/>
        <item x="184"/>
        <item x="129"/>
        <item x="70"/>
        <item x="23"/>
        <item x="51"/>
        <item x="250"/>
        <item x="112"/>
        <item x="174"/>
        <item x="126"/>
        <item x="153"/>
        <item x="21"/>
        <item x="121"/>
        <item x="248"/>
        <item x="38"/>
        <item x="66"/>
        <item x="80"/>
        <item x="274"/>
        <item x="263"/>
        <item x="30"/>
        <item x="148"/>
        <item x="20"/>
        <item x="32"/>
        <item x="220"/>
        <item x="147"/>
        <item x="150"/>
        <item x="215"/>
        <item x="34"/>
        <item x="22"/>
        <item x="158"/>
        <item x="3"/>
        <item x="191"/>
        <item x="221"/>
        <item x="202"/>
        <item x="273"/>
        <item x="243"/>
        <item x="234"/>
        <item x="100"/>
        <item x="277"/>
        <item x="39"/>
        <item x="107"/>
        <item x="289"/>
        <item x="163"/>
        <item x="196"/>
        <item x="291"/>
        <item x="162"/>
        <item x="217"/>
        <item x="44"/>
        <item x="130"/>
        <item x="268"/>
        <item x="50"/>
        <item x="212"/>
        <item x="142"/>
        <item x="41"/>
        <item x="170"/>
        <item x="281"/>
        <item x="194"/>
        <item x="73"/>
        <item x="101"/>
        <item x="229"/>
        <item x="200"/>
        <item x="132"/>
        <item x="292"/>
        <item x="140"/>
        <item x="290"/>
        <item x="262"/>
        <item x="267"/>
        <item t="default"/>
      </items>
    </pivotField>
    <pivotField showAll="0">
      <items count="13">
        <item x="10"/>
        <item x="7"/>
        <item x="0"/>
        <item x="6"/>
        <item x="4"/>
        <item x="1"/>
        <item x="8"/>
        <item x="5"/>
        <item x="3"/>
        <item x="9"/>
        <item x="2"/>
        <item x="11"/>
        <item t="default"/>
      </items>
    </pivotField>
    <pivotField showAll="0"/>
    <pivotField showAll="0"/>
    <pivotField showAll="0"/>
    <pivotField showAll="0"/>
    <pivotField showAll="0">
      <items count="5">
        <item x="2"/>
        <item x="0"/>
        <item x="1"/>
        <item x="3"/>
        <item t="default"/>
      </items>
    </pivotField>
    <pivotField showAll="0">
      <items count="8">
        <item x="1"/>
        <item x="4"/>
        <item x="5"/>
        <item x="6"/>
        <item x="0"/>
        <item x="2"/>
        <item x="3"/>
        <item t="default"/>
      </items>
    </pivotField>
    <pivotField showAll="0">
      <items count="6">
        <item x="3"/>
        <item x="1"/>
        <item x="2"/>
        <item x="0"/>
        <item x="4"/>
        <item t="default"/>
      </items>
    </pivotField>
    <pivotField showAll="0"/>
    <pivotField dataField="1" numFmtId="2" showAll="0"/>
    <pivotField numFmtId="164" showAll="0"/>
    <pivotField numFmtId="10" showAll="0"/>
    <pivotField numFmtId="164" showAll="0"/>
    <pivotField numFmtId="164" showAll="0"/>
    <pivotField numFmtId="164" showAll="0"/>
    <pivotField numFmtId="164" showAll="0"/>
    <pivotField dataField="1" numFmtId="164" showAll="0"/>
    <pivotField dataField="1" numFmtId="164" showAll="0"/>
    <pivotField numFmtId="10"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Units_Sold" fld="12" baseField="0" baseItem="0" numFmtId="2"/>
    <dataField name="Sum of Net_Revenue_INR" fld="19" baseField="0" baseItem="0" numFmtId="164"/>
    <dataField name="Sum of Profit_INR" fld="20" baseField="0" baseItem="0" numFmtId="164"/>
    <dataField name="Sum of Field1" fld="2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83CC94-3D53-4145-BE5E-C2DDD102FEB1}" sourceName="Product_Category">
  <pivotTables>
    <pivotTable tabId="7" name="PivotTable1"/>
    <pivotTable tabId="7" name="bottom 5"/>
    <pivotTable tabId="7" name="channel wise cost analysis"/>
    <pivotTable tabId="7" name="channel wise sales"/>
    <pivotTable tabId="7" name="cost pie"/>
    <pivotTable tabId="7" name="monthly analysis"/>
    <pivotTable tabId="7" name="promo analysis"/>
    <pivotTable tabId="7" name="Top 5"/>
    <pivotTable tabId="7" name="prmo units vs margin"/>
  </pivotTables>
  <data>
    <tabular pivotCacheId="2093887610">
      <items count="5">
        <i x="3" s="1"/>
        <i x="1"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FA847DB-BF29-4686-B264-DDAC00A2A01C}" sourceName="Sales_Channel">
  <pivotTables>
    <pivotTable tabId="7" name="PivotTable1"/>
    <pivotTable tabId="7" name="bottom 5"/>
    <pivotTable tabId="7" name="cost pie"/>
    <pivotTable tabId="7" name="cotegory wise sales"/>
    <pivotTable tabId="7" name="monthly analysis"/>
    <pivotTable tabId="7" name="prmo units vs margin"/>
    <pivotTable tabId="7" name="promo analysis"/>
    <pivotTable tabId="7" name="Top 5"/>
  </pivotTables>
  <data>
    <tabular pivotCacheId="209388761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Type" xr10:uid="{DEF5CB59-61D0-4C9C-88DB-E1608DFCC644}" sourceName="Promotion_Type">
  <pivotTables>
    <pivotTable tabId="7" name="PivotTable1"/>
    <pivotTable tabId="7" name="bottom 5"/>
    <pivotTable tabId="7" name="channel wise cost analysis"/>
    <pivotTable tabId="7" name="channel wise sales"/>
    <pivotTable tabId="7" name="cost pie"/>
    <pivotTable tabId="7" name="cotegory wise sales"/>
    <pivotTable tabId="7" name="monthly analysis"/>
    <pivotTable tabId="7" name="Top 5"/>
  </pivotTables>
  <data>
    <tabular pivotCacheId="2093887610">
      <items count="7">
        <i x="1" s="1"/>
        <i x="4" s="1"/>
        <i x="5" s="1"/>
        <i x="6"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95779B2-ABE9-4799-A86F-30BB5B125D90}" sourceName="Month_Name">
  <pivotTables>
    <pivotTable tabId="7" name="PivotTable1"/>
    <pivotTable tabId="7" name="bottom 5"/>
    <pivotTable tabId="7" name="channel wise cost analysis"/>
    <pivotTable tabId="7" name="channel wise sales"/>
    <pivotTable tabId="7" name="cost pie"/>
    <pivotTable tabId="7" name="cotegory wise sales"/>
    <pivotTable tabId="7" name="prmo units vs margin"/>
    <pivotTable tabId="7" name="promo analysis"/>
    <pivotTable tabId="7" name="Top 5"/>
  </pivotTables>
  <data>
    <tabular pivotCacheId="2093887610">
      <items count="12">
        <i x="10" s="1"/>
        <i x="7" s="1"/>
        <i x="0" s="1"/>
        <i x="6" s="1"/>
        <i x="4" s="1"/>
        <i x="1" s="1"/>
        <i x="8" s="1"/>
        <i x="5" s="1"/>
        <i x="3" s="1"/>
        <i x="9"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E06BDD3-4D6F-4BC7-A3FF-7F795F004FB6}" cache="Slicer_Product_Category" caption="Product_Category" style="SlicerStyleDark5" rowHeight="234950"/>
  <slicer name="Sales_Channel" xr10:uid="{1C86D94B-5F0E-4B7B-87A1-D0EAFF00D86B}" cache="Slicer_Sales_Channel" caption="Sales_Channel" style="SlicerStyleDark5" rowHeight="234950"/>
  <slicer name="Promotion_Type" xr10:uid="{CDE99AA5-26C7-4C4A-A8A2-F96C194785DA}" cache="Slicer_Promotion_Type" caption="Promotion_Type" style="SlicerStyleDark5" rowHeight="234950"/>
  <slicer name="Month_Name" xr10:uid="{33F32488-8266-4876-83FA-3D11FE9CEE7D}" cache="Slicer_Month_Name" caption="Month_Nam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74E580-CA83-4B4C-84F5-7A335C063EBD}" name="Table3" displayName="Table3" ref="C36:F40" totalsRowShown="0" headerRowDxfId="51" headerRowBorderDxfId="50">
  <autoFilter ref="C36:F40" xr:uid="{8A74E580-CA83-4B4C-84F5-7A335C063EBD}"/>
  <tableColumns count="4">
    <tableColumn id="1" xr3:uid="{89806662-B957-4910-B431-97B9E6D1DBEB}" name="Row Labels" dataDxfId="49">
      <calculatedColumnFormula>A30</calculatedColumnFormula>
    </tableColumn>
    <tableColumn id="2" xr3:uid="{39CE3E9F-043B-4CED-AD0A-0070C561E034}" name="Marketing cost%" dataDxfId="48">
      <calculatedColumnFormula>IFERROR(GETPIVOTDATA("Sum of Marketing%",$A$29,"Sales_Channel",A30),NA())</calculatedColumnFormula>
    </tableColumn>
    <tableColumn id="3" xr3:uid="{4B32A605-A13C-489B-A32F-5890835FA628}" name="Logistics cost%" dataDxfId="47">
      <calculatedColumnFormula>IFERROR(GETPIVOTDATA("Sum of Logistics%",$A$29,"Sales_Channel",A30),NA())</calculatedColumnFormula>
    </tableColumn>
    <tableColumn id="4" xr3:uid="{09DDCA18-908B-4637-96F2-99B492C3C974}" name="Profit Margin" dataDxfId="46">
      <calculatedColumnFormula>IFERROR(GETPIVOTDATA("Sum of Margin",$A$29,"Sales_Channel",A30),NA())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349AA4-E332-4CE5-8F09-10D96184DC2D}" name="Table6" displayName="Table6" ref="A117:B120" totalsRowShown="0">
  <autoFilter ref="A117:B120" xr:uid="{E8349AA4-E332-4CE5-8F09-10D96184DC2D}"/>
  <tableColumns count="2">
    <tableColumn id="1" xr3:uid="{AE23F5AC-0EB4-4133-AAEA-8AF92F3FE0D8}" name="Column1" dataDxfId="45"/>
    <tableColumn id="2" xr3:uid="{3A278BFC-7200-4927-8E92-1075DCF6C69F}" name="Column2" data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B15508C-6C31-4DEB-A614-A0037E5319A5}" name="Table9" displayName="Table9" ref="A167:C197" totalsRowShown="0" headerRowDxfId="43" headerRowBorderDxfId="42">
  <autoFilter ref="A167:C197" xr:uid="{DB15508C-6C31-4DEB-A614-A0037E5319A5}"/>
  <tableColumns count="3">
    <tableColumn id="1" xr3:uid="{922A29B4-436E-43D6-B9E1-D8DC2342F7CD}" name="Products" dataDxfId="41"/>
    <tableColumn id="4" xr3:uid="{C715227B-0920-4AF6-BEC2-A7FFCAD23B3B}" name="Units" dataDxfId="40"/>
    <tableColumn id="3" xr3:uid="{E1255FF9-BCAD-4952-82A2-10A741C46C85}" name="Profit" dataDxf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E66E9E-A75F-4C30-B765-CD33EC2A4B43}" name="Table10" displayName="Table10" ref="F167:H197" totalsRowShown="0" headerRowDxfId="38">
  <autoFilter ref="F167:H197" xr:uid="{EAE66E9E-A75F-4C30-B765-CD33EC2A4B43}"/>
  <tableColumns count="3">
    <tableColumn id="1" xr3:uid="{043732BB-DFB9-46BF-B6DA-6BF39CAEBCAE}" name="Products"/>
    <tableColumn id="4" xr3:uid="{EADE671B-4DE2-4E93-A906-D5FA7C73C1BD}" name="Units"/>
    <tableColumn id="2" xr3:uid="{BB2AEEDE-E633-4249-A2F5-B00AA2BD16F5}" name="Revenue" dataDxfId="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EEB7C0-F7AD-4636-A2FC-741E35D57F27}" name="Data" displayName="Data" ref="A1:V576" totalsRowShown="0">
  <autoFilter ref="A1:V576" xr:uid="{16EEB7C0-F7AD-4636-A2FC-741E35D57F27}"/>
  <tableColumns count="22">
    <tableColumn id="28" xr3:uid="{698DEAE3-CB83-4EA8-8472-819F2FACD970}" name="SR.NO" dataDxfId="36" totalsRowDxfId="35">
      <calculatedColumnFormula>ROW(B1)</calculatedColumnFormula>
    </tableColumn>
    <tableColumn id="1" xr3:uid="{33E3E5AD-E234-4DB6-9C01-91418196775C}" name="Order_ID" totalsRowDxfId="34"/>
    <tableColumn id="2" xr3:uid="{8D2E1735-79E0-42BF-9240-2B9A590364C7}" name="Order_Date" dataDxfId="33" totalsRowDxfId="32"/>
    <tableColumn id="6" xr3:uid="{D6574DCD-E90C-480A-9C8A-BF1D13243FDB}" name="Month_Name"/>
    <tableColumn id="7" xr3:uid="{5F4D85FE-2530-4325-84F8-F7A9590DCBEC}" name="Region" dataDxfId="31" totalsRowDxfId="30"/>
    <tableColumn id="9" xr3:uid="{38E18613-639F-472E-9312-D8BFDB42F561}" name="City" dataDxfId="29" totalsRowDxfId="28"/>
    <tableColumn id="10" xr3:uid="{D0B31C51-3BFF-467B-944D-3507D1318E17}" name="Sales_Person" dataDxfId="27" totalsRowDxfId="26"/>
    <tableColumn id="11" xr3:uid="{A0C5B532-A3BF-4FF1-AE75-1E57BD5EFCC7}" name="Customer_Type"/>
    <tableColumn id="12" xr3:uid="{FBB39B31-EF93-4738-8DBA-B313C5607D8B}" name="Sales_Channel" dataDxfId="25" totalsRowDxfId="24"/>
    <tableColumn id="13" xr3:uid="{F3B77510-2C5A-46E2-ABBB-7BA716FA740F}" name="Promotion_Type" dataDxfId="23" totalsRowDxfId="22"/>
    <tableColumn id="14" xr3:uid="{32F39775-8DE6-4072-9914-C71443B9724D}" name="Product_Category" dataDxfId="21" totalsRowDxfId="20"/>
    <tableColumn id="16" xr3:uid="{402092FB-3DE3-4274-A907-A5426534D165}" name="Product_Name" dataDxfId="19" totalsRowDxfId="18"/>
    <tableColumn id="18" xr3:uid="{A4AADF45-D680-4D55-A095-97E9D73116C8}" name="Units_Sold" dataDxfId="17" totalsRowDxfId="16"/>
    <tableColumn id="30" xr3:uid="{E96E2106-2CE7-4F61-BBC3-80244A422931}" name="Unit_Price_INR" dataDxfId="15" totalsRowDxfId="14"/>
    <tableColumn id="32" xr3:uid="{16B02388-7B09-442E-9FF9-B6CFFEE9E1D4}" name="Discount_Pct" dataDxfId="13" totalsRowDxfId="12" dataCellStyle="Percent" totalsRowCellStyle="Percent"/>
    <tableColumn id="21" xr3:uid="{CEE3DAF1-3906-4AE2-A5F8-40D9A9434A7D}" name="Gross_Sales_INR"/>
    <tableColumn id="22" xr3:uid="{C9B26FC4-8427-4FD1-8BF2-8C17FB77B0B4}" name="Marketing_Spend_INR" dataDxfId="11" totalsRowDxfId="10"/>
    <tableColumn id="23" xr3:uid="{9785DC8B-6D5A-442F-9FB8-2E610D96922D}" name="COGS_INR" dataDxfId="9" totalsRowDxfId="8"/>
    <tableColumn id="24" xr3:uid="{52B1E739-4CF5-4CDE-9406-A8DA02874D22}" name="Logistics_Cost_INR" dataDxfId="7" totalsRowDxfId="6"/>
    <tableColumn id="25" xr3:uid="{EA8F01AC-9F7F-41AE-A886-6687318356E8}" name="Net_Revenue_INR" dataDxfId="5" totalsRowDxfId="4"/>
    <tableColumn id="26" xr3:uid="{266E1A94-7833-43CB-B21A-B4812B1E481E}" name="Profit_INR" dataDxfId="3" totalsRowDxfId="2"/>
    <tableColumn id="27" xr3:uid="{E796794D-CC6E-4BFB-8F2C-7F1BE7F7C19D}" name="Profit_Margin_Pct" dataDxfId="1" totalsRowDxfId="0" totalsRow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table" Target="../tables/table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56DE-0238-42A3-AEC3-9C61119C0B82}">
  <dimension ref="A1"/>
  <sheetViews>
    <sheetView tabSelected="1" zoomScaleNormal="100" workbookViewId="0">
      <selection activeCell="N1" sqref="N1:N1048576"/>
    </sheetView>
  </sheetViews>
  <sheetFormatPr defaultRowHeight="14.4" x14ac:dyDescent="0.3"/>
  <cols>
    <col min="11" max="11"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D2EF-F569-46C9-87E4-F0FDBC33EC8D}">
  <dimension ref="A2:B17"/>
  <sheetViews>
    <sheetView workbookViewId="0">
      <selection activeCell="J17" sqref="J17"/>
    </sheetView>
  </sheetViews>
  <sheetFormatPr defaultRowHeight="14.4" x14ac:dyDescent="0.3"/>
  <cols>
    <col min="1" max="1" width="3.77734375" customWidth="1"/>
    <col min="2" max="2" width="15.109375" bestFit="1" customWidth="1"/>
  </cols>
  <sheetData>
    <row r="2" spans="1:2" ht="15.6" x14ac:dyDescent="0.3">
      <c r="A2" s="8"/>
      <c r="B2" s="7" t="s">
        <v>676</v>
      </c>
    </row>
    <row r="3" spans="1:2" x14ac:dyDescent="0.3">
      <c r="B3" t="s">
        <v>672</v>
      </c>
    </row>
    <row r="4" spans="1:2" x14ac:dyDescent="0.3">
      <c r="B4" t="s">
        <v>673</v>
      </c>
    </row>
    <row r="5" spans="1:2" x14ac:dyDescent="0.3">
      <c r="B5" t="s">
        <v>674</v>
      </c>
    </row>
    <row r="6" spans="1:2" x14ac:dyDescent="0.3">
      <c r="B6" t="s">
        <v>675</v>
      </c>
    </row>
    <row r="9" spans="1:2" ht="15.6" x14ac:dyDescent="0.3">
      <c r="A9" s="8"/>
      <c r="B9" s="7" t="s">
        <v>677</v>
      </c>
    </row>
    <row r="10" spans="1:2" x14ac:dyDescent="0.3">
      <c r="B10" t="s">
        <v>678</v>
      </c>
    </row>
    <row r="11" spans="1:2" x14ac:dyDescent="0.3">
      <c r="B11" t="s">
        <v>679</v>
      </c>
    </row>
    <row r="12" spans="1:2" x14ac:dyDescent="0.3">
      <c r="B12" t="s">
        <v>680</v>
      </c>
    </row>
    <row r="13" spans="1:2" x14ac:dyDescent="0.3">
      <c r="B13" t="s">
        <v>681</v>
      </c>
    </row>
    <row r="14" spans="1:2" x14ac:dyDescent="0.3">
      <c r="B14" t="s">
        <v>682</v>
      </c>
    </row>
    <row r="15" spans="1:2" x14ac:dyDescent="0.3">
      <c r="B15" t="s">
        <v>683</v>
      </c>
    </row>
    <row r="16" spans="1:2" x14ac:dyDescent="0.3">
      <c r="B16" t="s">
        <v>684</v>
      </c>
    </row>
    <row r="17" spans="2:2" x14ac:dyDescent="0.3">
      <c r="B17" t="s">
        <v>685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36FE-53C2-486F-AC32-455447B6681A}">
  <dimension ref="A1:L230"/>
  <sheetViews>
    <sheetView zoomScaleNormal="100" workbookViewId="0">
      <selection activeCell="B6" sqref="B6"/>
    </sheetView>
  </sheetViews>
  <sheetFormatPr defaultRowHeight="14.4" x14ac:dyDescent="0.3"/>
  <cols>
    <col min="1" max="1" width="17" bestFit="1" customWidth="1"/>
    <col min="2" max="2" width="23.109375" bestFit="1" customWidth="1"/>
    <col min="3" max="3" width="13.21875" bestFit="1" customWidth="1"/>
    <col min="4" max="4" width="10.21875" bestFit="1" customWidth="1"/>
    <col min="5" max="5" width="26.88671875" bestFit="1" customWidth="1"/>
    <col min="6" max="6" width="17.77734375" bestFit="1" customWidth="1"/>
    <col min="7" max="7" width="16" bestFit="1" customWidth="1"/>
    <col min="8" max="9" width="13.5546875" bestFit="1" customWidth="1"/>
    <col min="10" max="10" width="12.5546875" bestFit="1" customWidth="1"/>
    <col min="11" max="11" width="14.77734375" bestFit="1" customWidth="1"/>
    <col min="12" max="12" width="13.21875" bestFit="1" customWidth="1"/>
    <col min="13" max="16" width="13.5546875" bestFit="1" customWidth="1"/>
  </cols>
  <sheetData>
    <row r="1" spans="1:4" x14ac:dyDescent="0.3">
      <c r="A1" t="s">
        <v>686</v>
      </c>
      <c r="B1" t="s">
        <v>687</v>
      </c>
      <c r="C1" t="s">
        <v>688</v>
      </c>
      <c r="D1" t="s">
        <v>689</v>
      </c>
    </row>
    <row r="2" spans="1:4" x14ac:dyDescent="0.3">
      <c r="A2" s="3">
        <v>118149</v>
      </c>
      <c r="B2" s="2">
        <v>12688791.361575002</v>
      </c>
      <c r="C2" s="2">
        <v>3093949.4615749996</v>
      </c>
      <c r="D2" s="5">
        <v>0.24383326775663539</v>
      </c>
    </row>
    <row r="5" spans="1:4" x14ac:dyDescent="0.3">
      <c r="A5" t="s">
        <v>692</v>
      </c>
      <c r="B5" t="s">
        <v>690</v>
      </c>
      <c r="C5" t="s">
        <v>691</v>
      </c>
      <c r="D5" t="s">
        <v>675</v>
      </c>
    </row>
    <row r="6" spans="1:4" x14ac:dyDescent="0.3">
      <c r="A6" t="str">
        <f>TEXT(A2,"#,##")</f>
        <v>1,18,149</v>
      </c>
      <c r="B6" t="str">
        <f>TEXT(B2,"#,##.00")</f>
        <v>1,26,88,791.36</v>
      </c>
      <c r="C6" t="str">
        <f>TEXT(C2,"#,##.00")</f>
        <v>30,93,949.46</v>
      </c>
      <c r="D6" t="str">
        <f>TEXT(D2,"##.00%")</f>
        <v>24.38%</v>
      </c>
    </row>
    <row r="8" spans="1:4" x14ac:dyDescent="0.3">
      <c r="A8" s="9" t="s">
        <v>9</v>
      </c>
      <c r="B8" t="s">
        <v>726</v>
      </c>
    </row>
    <row r="10" spans="1:4" x14ac:dyDescent="0.3">
      <c r="A10" s="9" t="s">
        <v>693</v>
      </c>
      <c r="B10" t="s">
        <v>714</v>
      </c>
      <c r="C10" t="s">
        <v>713</v>
      </c>
    </row>
    <row r="11" spans="1:4" x14ac:dyDescent="0.3">
      <c r="A11" s="10" t="s">
        <v>695</v>
      </c>
      <c r="B11" s="2">
        <v>795055.48041499988</v>
      </c>
      <c r="C11" s="2">
        <v>191618.03041500007</v>
      </c>
    </row>
    <row r="12" spans="1:4" x14ac:dyDescent="0.3">
      <c r="A12" s="10" t="s">
        <v>696</v>
      </c>
      <c r="B12" s="2">
        <v>970148.02461499989</v>
      </c>
      <c r="C12" s="2">
        <v>242048.97461500004</v>
      </c>
    </row>
    <row r="13" spans="1:4" x14ac:dyDescent="0.3">
      <c r="A13" s="10" t="s">
        <v>697</v>
      </c>
      <c r="B13" s="2">
        <v>1331475.6106400003</v>
      </c>
      <c r="C13" s="2">
        <v>319125.81063999992</v>
      </c>
    </row>
    <row r="14" spans="1:4" x14ac:dyDescent="0.3">
      <c r="A14" s="10" t="s">
        <v>698</v>
      </c>
      <c r="B14" s="2">
        <v>1337486.5194599999</v>
      </c>
      <c r="C14" s="2">
        <v>357973.71945999999</v>
      </c>
    </row>
    <row r="15" spans="1:4" x14ac:dyDescent="0.3">
      <c r="A15" s="10" t="s">
        <v>30</v>
      </c>
      <c r="B15" s="2">
        <v>1143231.4582850006</v>
      </c>
      <c r="C15" s="2">
        <v>292501.15828500007</v>
      </c>
    </row>
    <row r="16" spans="1:4" x14ac:dyDescent="0.3">
      <c r="A16" s="10" t="s">
        <v>699</v>
      </c>
      <c r="B16" s="2">
        <v>1320423.2192900004</v>
      </c>
      <c r="C16" s="2">
        <v>282582.91929000005</v>
      </c>
    </row>
    <row r="17" spans="1:12" x14ac:dyDescent="0.3">
      <c r="A17" s="10" t="s">
        <v>700</v>
      </c>
      <c r="B17" s="2">
        <v>443642.32871000003</v>
      </c>
      <c r="C17" s="2">
        <v>109209.62871</v>
      </c>
    </row>
    <row r="18" spans="1:12" x14ac:dyDescent="0.3">
      <c r="A18" s="10" t="s">
        <v>701</v>
      </c>
      <c r="B18" s="2">
        <v>1078051.3881550003</v>
      </c>
      <c r="C18" s="2">
        <v>274742.23815500003</v>
      </c>
    </row>
    <row r="19" spans="1:12" x14ac:dyDescent="0.3">
      <c r="A19" s="10" t="s">
        <v>702</v>
      </c>
      <c r="B19" s="2">
        <v>1092989.9384949997</v>
      </c>
      <c r="C19" s="2">
        <v>271572.13849500008</v>
      </c>
    </row>
    <row r="20" spans="1:12" x14ac:dyDescent="0.3">
      <c r="A20" s="10" t="s">
        <v>703</v>
      </c>
      <c r="B20" s="2">
        <v>1090244.8240599998</v>
      </c>
      <c r="C20" s="2">
        <v>263883.97406000004</v>
      </c>
    </row>
    <row r="21" spans="1:12" x14ac:dyDescent="0.3">
      <c r="A21" s="10" t="s">
        <v>704</v>
      </c>
      <c r="B21" s="2">
        <v>1047895.5992749999</v>
      </c>
      <c r="C21" s="2">
        <v>242102.14927500006</v>
      </c>
    </row>
    <row r="22" spans="1:12" x14ac:dyDescent="0.3">
      <c r="A22" s="10" t="s">
        <v>705</v>
      </c>
      <c r="B22" s="2">
        <v>1038146.9701750004</v>
      </c>
      <c r="C22" s="2">
        <v>246588.72017500005</v>
      </c>
    </row>
    <row r="23" spans="1:12" x14ac:dyDescent="0.3">
      <c r="A23" s="10" t="s">
        <v>694</v>
      </c>
      <c r="B23" s="2">
        <v>12688791.361575002</v>
      </c>
      <c r="C23" s="2">
        <v>3093949.4615750005</v>
      </c>
    </row>
    <row r="29" spans="1:12" x14ac:dyDescent="0.3">
      <c r="A29" s="9" t="s">
        <v>693</v>
      </c>
      <c r="B29" t="s">
        <v>687</v>
      </c>
      <c r="C29" t="s">
        <v>688</v>
      </c>
      <c r="D29" t="s">
        <v>707</v>
      </c>
      <c r="E29" t="s">
        <v>706</v>
      </c>
      <c r="F29" t="s">
        <v>708</v>
      </c>
      <c r="G29" t="s">
        <v>709</v>
      </c>
      <c r="H29" t="s">
        <v>710</v>
      </c>
      <c r="J29" s="9" t="s">
        <v>693</v>
      </c>
      <c r="K29" t="s">
        <v>719</v>
      </c>
      <c r="L29" t="s">
        <v>691</v>
      </c>
    </row>
    <row r="30" spans="1:12" x14ac:dyDescent="0.3">
      <c r="A30" s="10" t="s">
        <v>31</v>
      </c>
      <c r="B30" s="2">
        <v>3773720.216560001</v>
      </c>
      <c r="C30" s="2">
        <v>1075440.0165599999</v>
      </c>
      <c r="D30" s="2">
        <v>185393.95</v>
      </c>
      <c r="E30" s="2">
        <v>313426.74999999994</v>
      </c>
      <c r="F30" s="14">
        <v>8.3055110610640193E-2</v>
      </c>
      <c r="G30" s="14">
        <v>4.912763516130484E-2</v>
      </c>
      <c r="H30" s="14">
        <v>0.28498138570016607</v>
      </c>
      <c r="J30" s="10" t="s">
        <v>28</v>
      </c>
      <c r="K30" s="2">
        <v>4465724.0993750002</v>
      </c>
      <c r="L30" s="2">
        <v>1202419.9993749999</v>
      </c>
    </row>
    <row r="31" spans="1:12" x14ac:dyDescent="0.3">
      <c r="A31" s="10" t="s">
        <v>28</v>
      </c>
      <c r="B31" s="2">
        <v>4465724.0993750002</v>
      </c>
      <c r="C31" s="2">
        <v>1202419.9993749999</v>
      </c>
      <c r="D31" s="2">
        <v>265643</v>
      </c>
      <c r="E31" s="2">
        <v>427687.39999999991</v>
      </c>
      <c r="F31" s="14">
        <v>9.5771120311677296E-2</v>
      </c>
      <c r="G31" s="14">
        <v>5.9484866079652803E-2</v>
      </c>
      <c r="H31" s="14">
        <v>0.26925532626238247</v>
      </c>
      <c r="J31" s="10" t="s">
        <v>31</v>
      </c>
      <c r="K31" s="2">
        <v>3773720.216560001</v>
      </c>
      <c r="L31" s="2">
        <v>1075440.0165599999</v>
      </c>
    </row>
    <row r="32" spans="1:12" x14ac:dyDescent="0.3">
      <c r="A32" s="10" t="s">
        <v>16</v>
      </c>
      <c r="B32" s="2">
        <v>3223886.0557750002</v>
      </c>
      <c r="C32" s="2">
        <v>654657.85577499948</v>
      </c>
      <c r="D32" s="2">
        <v>243744.55000000005</v>
      </c>
      <c r="E32" s="2">
        <v>432834.50000000006</v>
      </c>
      <c r="F32" s="14">
        <v>0.13425862220677945</v>
      </c>
      <c r="G32" s="14">
        <v>7.5605820361850692E-2</v>
      </c>
      <c r="H32" s="14">
        <v>0.20306482439176163</v>
      </c>
      <c r="J32" s="10" t="s">
        <v>16</v>
      </c>
      <c r="K32" s="2">
        <v>3223886.0557750002</v>
      </c>
      <c r="L32" s="2">
        <v>654657.85577499948</v>
      </c>
    </row>
    <row r="33" spans="1:12" x14ac:dyDescent="0.3">
      <c r="A33" s="10" t="s">
        <v>23</v>
      </c>
      <c r="B33" s="2">
        <v>1225460.9898650004</v>
      </c>
      <c r="C33" s="2">
        <v>161431.58986500007</v>
      </c>
      <c r="D33" s="2">
        <v>128714.59999999999</v>
      </c>
      <c r="E33" s="2">
        <v>214841.55000000005</v>
      </c>
      <c r="F33" s="14">
        <v>0.17531488295165357</v>
      </c>
      <c r="G33" s="14">
        <v>0.10503361678953117</v>
      </c>
      <c r="H33" s="14">
        <v>0.1317313167861702</v>
      </c>
      <c r="J33" s="10" t="s">
        <v>23</v>
      </c>
      <c r="K33" s="2">
        <v>1225460.9898650004</v>
      </c>
      <c r="L33" s="2">
        <v>161431.58986500007</v>
      </c>
    </row>
    <row r="34" spans="1:12" x14ac:dyDescent="0.3">
      <c r="A34" s="10" t="s">
        <v>694</v>
      </c>
      <c r="B34" s="2">
        <v>12688791.361575002</v>
      </c>
      <c r="C34" s="2">
        <v>3093949.4615749991</v>
      </c>
      <c r="D34" s="2">
        <v>823496.10000000009</v>
      </c>
      <c r="E34" s="2">
        <v>1388790.2</v>
      </c>
      <c r="F34" s="14">
        <v>0.10945015647476258</v>
      </c>
      <c r="G34" s="14">
        <v>6.4899490939205023E-2</v>
      </c>
      <c r="H34" s="14">
        <v>0.24383326775663566</v>
      </c>
      <c r="J34" s="10" t="s">
        <v>694</v>
      </c>
      <c r="K34" s="2">
        <v>12688791.361575002</v>
      </c>
      <c r="L34" s="2">
        <v>3093949.4615749991</v>
      </c>
    </row>
    <row r="36" spans="1:12" x14ac:dyDescent="0.3">
      <c r="C36" s="11" t="s">
        <v>693</v>
      </c>
      <c r="D36" s="11" t="s">
        <v>716</v>
      </c>
      <c r="E36" s="11" t="s">
        <v>715</v>
      </c>
      <c r="F36" s="11" t="s">
        <v>675</v>
      </c>
    </row>
    <row r="37" spans="1:12" x14ac:dyDescent="0.3">
      <c r="C37" t="str">
        <f t="shared" ref="C37:C40" si="0">A30</f>
        <v>Wholesale</v>
      </c>
      <c r="D37" s="14">
        <f t="shared" ref="D37:D40" si="1">IFERROR(GETPIVOTDATA("Sum of Marketing%",$A$29,"Sales_Channel",A30),NA())</f>
        <v>8.3055110610640193E-2</v>
      </c>
      <c r="E37" s="14">
        <f t="shared" ref="E37:E40" si="2">IFERROR(GETPIVOTDATA("Sum of Logistics%",$A$29,"Sales_Channel",A30),NA())</f>
        <v>4.912763516130484E-2</v>
      </c>
      <c r="F37" s="14">
        <f t="shared" ref="F37:F40" si="3">IFERROR(GETPIVOTDATA("Sum of Margin",$A$29,"Sales_Channel",A30),NA())</f>
        <v>0.28498138570016607</v>
      </c>
    </row>
    <row r="38" spans="1:12" x14ac:dyDescent="0.3">
      <c r="C38" t="str">
        <f t="shared" si="0"/>
        <v>Distributor</v>
      </c>
      <c r="D38" s="14">
        <f t="shared" si="1"/>
        <v>9.5771120311677296E-2</v>
      </c>
      <c r="E38" s="14">
        <f t="shared" si="2"/>
        <v>5.9484866079652803E-2</v>
      </c>
      <c r="F38" s="14">
        <f t="shared" si="3"/>
        <v>0.26925532626238247</v>
      </c>
    </row>
    <row r="39" spans="1:12" x14ac:dyDescent="0.3">
      <c r="C39" t="str">
        <f t="shared" si="0"/>
        <v>Modern Trade</v>
      </c>
      <c r="D39" s="14">
        <f t="shared" si="1"/>
        <v>0.13425862220677945</v>
      </c>
      <c r="E39" s="14">
        <f t="shared" si="2"/>
        <v>7.5605820361850692E-2</v>
      </c>
      <c r="F39" s="14">
        <f t="shared" si="3"/>
        <v>0.20306482439176163</v>
      </c>
    </row>
    <row r="40" spans="1:12" x14ac:dyDescent="0.3">
      <c r="C40" t="str">
        <f t="shared" si="0"/>
        <v>Online</v>
      </c>
      <c r="D40" s="14">
        <f t="shared" si="1"/>
        <v>0.17531488295165357</v>
      </c>
      <c r="E40" s="14">
        <f t="shared" si="2"/>
        <v>0.10503361678953117</v>
      </c>
      <c r="F40" s="14">
        <f t="shared" si="3"/>
        <v>0.1317313167861702</v>
      </c>
    </row>
    <row r="57" spans="1:4" x14ac:dyDescent="0.3">
      <c r="B57" t="s">
        <v>719</v>
      </c>
      <c r="C57" t="s">
        <v>691</v>
      </c>
      <c r="D57" t="s">
        <v>717</v>
      </c>
    </row>
    <row r="58" spans="1:4" x14ac:dyDescent="0.3">
      <c r="A58" s="10" t="s">
        <v>32</v>
      </c>
      <c r="B58" s="2">
        <v>4661514.431069999</v>
      </c>
      <c r="C58" s="2">
        <v>1263110.6810699997</v>
      </c>
      <c r="D58" s="14">
        <v>0.10902736526197447</v>
      </c>
    </row>
    <row r="59" spans="1:4" x14ac:dyDescent="0.3">
      <c r="A59" s="10" t="s">
        <v>36</v>
      </c>
      <c r="B59" s="2">
        <v>764402.32645000005</v>
      </c>
      <c r="C59" s="2">
        <v>186925.42645</v>
      </c>
      <c r="D59" s="14">
        <v>0.14162120417129936</v>
      </c>
    </row>
    <row r="60" spans="1:4" x14ac:dyDescent="0.3">
      <c r="A60" s="10" t="s">
        <v>17</v>
      </c>
      <c r="B60" s="2">
        <v>2147992.7689849995</v>
      </c>
      <c r="C60" s="2">
        <v>480894.11898499983</v>
      </c>
      <c r="D60" s="14">
        <v>0.16279772000949999</v>
      </c>
    </row>
    <row r="61" spans="1:4" x14ac:dyDescent="0.3">
      <c r="A61" s="10" t="s">
        <v>24</v>
      </c>
      <c r="B61" s="2">
        <v>2376156.5140950005</v>
      </c>
      <c r="C61" s="2">
        <v>599703.86409500008</v>
      </c>
      <c r="D61" s="14">
        <v>0.17232122337390626</v>
      </c>
    </row>
    <row r="62" spans="1:4" x14ac:dyDescent="0.3">
      <c r="A62" s="10" t="s">
        <v>84</v>
      </c>
      <c r="B62" s="2">
        <v>1141893.9759849999</v>
      </c>
      <c r="C62" s="2">
        <v>228418.475985</v>
      </c>
      <c r="D62" s="14">
        <v>0.19403802666732561</v>
      </c>
    </row>
    <row r="63" spans="1:4" x14ac:dyDescent="0.3">
      <c r="A63" s="10" t="s">
        <v>52</v>
      </c>
      <c r="B63" s="2">
        <v>1071313.3626649997</v>
      </c>
      <c r="C63" s="2">
        <v>238255.26266500005</v>
      </c>
      <c r="D63" s="14">
        <v>0.20628003535429007</v>
      </c>
    </row>
    <row r="64" spans="1:4" x14ac:dyDescent="0.3">
      <c r="A64" s="10" t="s">
        <v>45</v>
      </c>
      <c r="B64" s="2">
        <v>525517.98232499999</v>
      </c>
      <c r="C64" s="2">
        <v>96641.632325000028</v>
      </c>
      <c r="D64" s="14">
        <v>0.22917027555669642</v>
      </c>
    </row>
    <row r="65" spans="1:5" x14ac:dyDescent="0.3">
      <c r="A65" s="10" t="s">
        <v>694</v>
      </c>
      <c r="B65" s="2">
        <v>12688791.361575</v>
      </c>
      <c r="C65" s="2">
        <v>3093949.4615749996</v>
      </c>
      <c r="D65" s="14">
        <v>0.15449247052470155</v>
      </c>
    </row>
    <row r="73" spans="1:5" x14ac:dyDescent="0.3">
      <c r="E73" s="4"/>
    </row>
    <row r="74" spans="1:5" x14ac:dyDescent="0.3">
      <c r="E74" s="4"/>
    </row>
    <row r="75" spans="1:5" x14ac:dyDescent="0.3">
      <c r="E75" s="4"/>
    </row>
    <row r="76" spans="1:5" x14ac:dyDescent="0.3">
      <c r="E76" s="4"/>
    </row>
    <row r="77" spans="1:5" x14ac:dyDescent="0.3">
      <c r="E77" s="4"/>
    </row>
    <row r="78" spans="1:5" x14ac:dyDescent="0.3">
      <c r="B78" t="s">
        <v>718</v>
      </c>
      <c r="C78" t="s">
        <v>717</v>
      </c>
      <c r="E78" s="4"/>
    </row>
    <row r="79" spans="1:5" x14ac:dyDescent="0.3">
      <c r="A79" s="10" t="s">
        <v>32</v>
      </c>
      <c r="B79" s="2">
        <v>43551</v>
      </c>
      <c r="C79" s="14">
        <v>0.10902736526197447</v>
      </c>
      <c r="E79" s="4"/>
    </row>
    <row r="80" spans="1:5" x14ac:dyDescent="0.3">
      <c r="A80" s="10" t="s">
        <v>36</v>
      </c>
      <c r="B80" s="2">
        <v>7011</v>
      </c>
      <c r="C80" s="14">
        <v>0.14162120417129936</v>
      </c>
    </row>
    <row r="81" spans="1:4" x14ac:dyDescent="0.3">
      <c r="A81" s="10" t="s">
        <v>17</v>
      </c>
      <c r="B81" s="2">
        <v>18421</v>
      </c>
      <c r="C81" s="14">
        <v>0.16279772000949999</v>
      </c>
    </row>
    <row r="82" spans="1:4" x14ac:dyDescent="0.3">
      <c r="A82" s="10" t="s">
        <v>24</v>
      </c>
      <c r="B82" s="2">
        <v>21479</v>
      </c>
      <c r="C82" s="14">
        <v>0.17232122337390626</v>
      </c>
    </row>
    <row r="83" spans="1:4" x14ac:dyDescent="0.3">
      <c r="A83" s="10" t="s">
        <v>84</v>
      </c>
      <c r="B83" s="2">
        <v>11895</v>
      </c>
      <c r="C83" s="14">
        <v>0.19403802666732561</v>
      </c>
    </row>
    <row r="84" spans="1:4" x14ac:dyDescent="0.3">
      <c r="A84" s="10" t="s">
        <v>52</v>
      </c>
      <c r="B84" s="2">
        <v>10155</v>
      </c>
      <c r="C84" s="14">
        <v>0.20628003535429007</v>
      </c>
    </row>
    <row r="85" spans="1:4" x14ac:dyDescent="0.3">
      <c r="A85" s="10" t="s">
        <v>45</v>
      </c>
      <c r="B85" s="2">
        <v>5637</v>
      </c>
      <c r="C85" s="14">
        <v>0.22917027555669642</v>
      </c>
    </row>
    <row r="86" spans="1:4" x14ac:dyDescent="0.3">
      <c r="A86" s="10" t="s">
        <v>694</v>
      </c>
      <c r="B86" s="3">
        <v>118149</v>
      </c>
      <c r="C86" s="14">
        <v>0.15449247052470155</v>
      </c>
    </row>
    <row r="93" spans="1:4" x14ac:dyDescent="0.3">
      <c r="B93" t="s">
        <v>719</v>
      </c>
      <c r="C93" t="s">
        <v>691</v>
      </c>
      <c r="D93" t="s">
        <v>675</v>
      </c>
    </row>
    <row r="94" spans="1:4" x14ac:dyDescent="0.3">
      <c r="A94" s="10" t="s">
        <v>48</v>
      </c>
      <c r="B94" s="2">
        <v>2798468.2550649988</v>
      </c>
      <c r="C94" s="2">
        <v>394769.75506499998</v>
      </c>
      <c r="D94" s="5">
        <v>0.1410663688432052</v>
      </c>
    </row>
    <row r="95" spans="1:4" x14ac:dyDescent="0.3">
      <c r="A95" s="10" t="s">
        <v>33</v>
      </c>
      <c r="B95" s="2">
        <v>2156072.562105001</v>
      </c>
      <c r="C95" s="2">
        <v>512252.7621049998</v>
      </c>
      <c r="D95" s="5">
        <v>0.23758604933262586</v>
      </c>
    </row>
    <row r="96" spans="1:4" x14ac:dyDescent="0.3">
      <c r="A96" s="10" t="s">
        <v>46</v>
      </c>
      <c r="B96" s="2">
        <v>3155342.8095699996</v>
      </c>
      <c r="C96" s="2">
        <v>885575.65957000002</v>
      </c>
      <c r="D96" s="5">
        <v>0.280659095703989</v>
      </c>
    </row>
    <row r="97" spans="1:4" x14ac:dyDescent="0.3">
      <c r="A97" s="10" t="s">
        <v>37</v>
      </c>
      <c r="B97" s="2">
        <v>2365309.1330049997</v>
      </c>
      <c r="C97" s="2">
        <v>668757.6330049996</v>
      </c>
      <c r="D97" s="5">
        <v>0.28273582665086089</v>
      </c>
    </row>
    <row r="98" spans="1:4" x14ac:dyDescent="0.3">
      <c r="A98" s="10" t="s">
        <v>18</v>
      </c>
      <c r="B98" s="2">
        <v>2213598.6018299996</v>
      </c>
      <c r="C98" s="2">
        <v>632593.65183000022</v>
      </c>
      <c r="D98" s="5">
        <v>0.28577613452910117</v>
      </c>
    </row>
    <row r="99" spans="1:4" x14ac:dyDescent="0.3">
      <c r="A99" s="10" t="s">
        <v>694</v>
      </c>
      <c r="B99" s="13">
        <v>12688791.361575</v>
      </c>
      <c r="C99" s="13">
        <v>3093949.4615749996</v>
      </c>
      <c r="D99" s="5">
        <v>0.24383326775663527</v>
      </c>
    </row>
    <row r="114" spans="1:3" x14ac:dyDescent="0.3">
      <c r="A114" t="s">
        <v>708</v>
      </c>
      <c r="B114" t="s">
        <v>709</v>
      </c>
      <c r="C114" t="s">
        <v>720</v>
      </c>
    </row>
    <row r="115" spans="1:3" x14ac:dyDescent="0.3">
      <c r="A115" s="5">
        <v>0.1094501564747626</v>
      </c>
      <c r="B115" s="5">
        <v>6.489949093920501E-2</v>
      </c>
      <c r="C115" s="5">
        <v>0.58181708482939687</v>
      </c>
    </row>
    <row r="117" spans="1:3" x14ac:dyDescent="0.3">
      <c r="A117" t="s">
        <v>711</v>
      </c>
      <c r="B117" t="s">
        <v>712</v>
      </c>
    </row>
    <row r="118" spans="1:3" x14ac:dyDescent="0.3">
      <c r="A118" t="s">
        <v>722</v>
      </c>
      <c r="B118" s="5">
        <f>IFERROR(GETPIVOTDATA("Sum of COGS %",$A$114),NA())</f>
        <v>0.58181708482939687</v>
      </c>
    </row>
    <row r="119" spans="1:3" x14ac:dyDescent="0.3">
      <c r="A119" t="s">
        <v>721</v>
      </c>
      <c r="B119" s="5">
        <f>IFERROR(GETPIVOTDATA("Sum of Marketing%",$A$114),NA())</f>
        <v>0.1094501564747626</v>
      </c>
    </row>
    <row r="120" spans="1:3" x14ac:dyDescent="0.3">
      <c r="A120" t="s">
        <v>723</v>
      </c>
      <c r="B120" s="5">
        <f>IFERROR(GETPIVOTDATA("Sum of Logistics%",$A$114),NA())</f>
        <v>6.489949093920501E-2</v>
      </c>
    </row>
    <row r="167" spans="1:8" x14ac:dyDescent="0.3">
      <c r="A167" s="11" t="s">
        <v>724</v>
      </c>
      <c r="B167" s="11" t="s">
        <v>725</v>
      </c>
      <c r="C167" s="11" t="s">
        <v>691</v>
      </c>
      <c r="F167" s="11" t="s">
        <v>724</v>
      </c>
      <c r="G167" s="11" t="s">
        <v>725</v>
      </c>
      <c r="H167" s="11" t="s">
        <v>719</v>
      </c>
    </row>
    <row r="168" spans="1:8" x14ac:dyDescent="0.3">
      <c r="A168" s="10" t="s">
        <v>29</v>
      </c>
      <c r="B168" s="12">
        <v>4176</v>
      </c>
      <c r="C168" s="2">
        <v>147880.54648499997</v>
      </c>
      <c r="F168" t="s">
        <v>29</v>
      </c>
      <c r="G168">
        <v>4176</v>
      </c>
      <c r="H168" s="2">
        <v>543573.39648500015</v>
      </c>
    </row>
    <row r="169" spans="1:8" x14ac:dyDescent="0.3">
      <c r="A169" s="10" t="s">
        <v>90</v>
      </c>
      <c r="B169" s="12">
        <v>5009</v>
      </c>
      <c r="C169" s="2">
        <v>171350.79293499998</v>
      </c>
      <c r="F169" t="s">
        <v>90</v>
      </c>
      <c r="G169">
        <v>5009</v>
      </c>
      <c r="H169" s="2">
        <v>582023.64293500001</v>
      </c>
    </row>
    <row r="170" spans="1:8" x14ac:dyDescent="0.3">
      <c r="A170" s="10" t="s">
        <v>78</v>
      </c>
      <c r="B170" s="12">
        <v>3046</v>
      </c>
      <c r="C170" s="2">
        <v>53516.683500000014</v>
      </c>
      <c r="F170" t="s">
        <v>78</v>
      </c>
      <c r="G170">
        <v>3046</v>
      </c>
      <c r="H170" s="2">
        <v>233665.53349999999</v>
      </c>
    </row>
    <row r="171" spans="1:8" x14ac:dyDescent="0.3">
      <c r="A171" s="10" t="s">
        <v>59</v>
      </c>
      <c r="B171" s="12">
        <v>2112</v>
      </c>
      <c r="C171" s="2">
        <v>82602.817045000003</v>
      </c>
      <c r="F171" t="s">
        <v>59</v>
      </c>
      <c r="G171">
        <v>2112</v>
      </c>
      <c r="H171" s="2">
        <v>357441.36704500002</v>
      </c>
    </row>
    <row r="172" spans="1:8" x14ac:dyDescent="0.3">
      <c r="A172" s="10" t="s">
        <v>83</v>
      </c>
      <c r="B172" s="12">
        <v>3947</v>
      </c>
      <c r="C172" s="2">
        <v>118267.56620000003</v>
      </c>
      <c r="F172" t="s">
        <v>83</v>
      </c>
      <c r="G172">
        <v>3947</v>
      </c>
      <c r="H172" s="2">
        <v>437865.16619999992</v>
      </c>
    </row>
    <row r="173" spans="1:8" x14ac:dyDescent="0.3">
      <c r="A173" s="10" t="s">
        <v>49</v>
      </c>
      <c r="B173" s="12">
        <v>4355</v>
      </c>
      <c r="C173" s="2">
        <v>89384.969064999983</v>
      </c>
      <c r="F173" t="s">
        <v>49</v>
      </c>
      <c r="G173">
        <v>4355</v>
      </c>
      <c r="H173" s="2">
        <v>410998.91906500008</v>
      </c>
    </row>
    <row r="174" spans="1:8" x14ac:dyDescent="0.3">
      <c r="A174" s="10" t="s">
        <v>56</v>
      </c>
      <c r="B174" s="12">
        <v>6454</v>
      </c>
      <c r="C174" s="2">
        <v>138266.34479</v>
      </c>
      <c r="F174" t="s">
        <v>56</v>
      </c>
      <c r="G174">
        <v>6454</v>
      </c>
      <c r="H174" s="2">
        <v>627317.49479000003</v>
      </c>
    </row>
    <row r="175" spans="1:8" x14ac:dyDescent="0.3">
      <c r="A175" s="10" t="s">
        <v>51</v>
      </c>
      <c r="B175" s="12">
        <v>2109</v>
      </c>
      <c r="C175" s="2">
        <v>80830.431255000003</v>
      </c>
      <c r="F175" t="s">
        <v>51</v>
      </c>
      <c r="G175">
        <v>2109</v>
      </c>
      <c r="H175" s="2">
        <v>247142.73125500005</v>
      </c>
    </row>
    <row r="176" spans="1:8" x14ac:dyDescent="0.3">
      <c r="A176" s="10" t="s">
        <v>77</v>
      </c>
      <c r="B176" s="12">
        <v>3064</v>
      </c>
      <c r="C176" s="2">
        <v>117459.284915</v>
      </c>
      <c r="F176" t="s">
        <v>77</v>
      </c>
      <c r="G176">
        <v>3064</v>
      </c>
      <c r="H176" s="2">
        <v>455404.58491500007</v>
      </c>
    </row>
    <row r="177" spans="1:8" x14ac:dyDescent="0.3">
      <c r="A177" s="10" t="s">
        <v>38</v>
      </c>
      <c r="B177" s="12">
        <v>5536</v>
      </c>
      <c r="C177" s="2">
        <v>114846.15597000002</v>
      </c>
      <c r="F177" t="s">
        <v>38</v>
      </c>
      <c r="G177">
        <v>5536</v>
      </c>
      <c r="H177" s="2">
        <v>374214.00597000011</v>
      </c>
    </row>
    <row r="178" spans="1:8" x14ac:dyDescent="0.3">
      <c r="A178" s="10" t="s">
        <v>74</v>
      </c>
      <c r="B178" s="12">
        <v>3785</v>
      </c>
      <c r="C178" s="2">
        <v>54437.197184999983</v>
      </c>
      <c r="F178" t="s">
        <v>74</v>
      </c>
      <c r="G178">
        <v>3785</v>
      </c>
      <c r="H178" s="2">
        <v>473462.09718500008</v>
      </c>
    </row>
    <row r="179" spans="1:8" x14ac:dyDescent="0.3">
      <c r="A179" s="10" t="s">
        <v>71</v>
      </c>
      <c r="B179" s="12">
        <v>2350</v>
      </c>
      <c r="C179" s="2">
        <v>63599.510310000005</v>
      </c>
      <c r="F179" t="s">
        <v>71</v>
      </c>
      <c r="G179">
        <v>2350</v>
      </c>
      <c r="H179" s="2">
        <v>187281.46030999997</v>
      </c>
    </row>
    <row r="180" spans="1:8" x14ac:dyDescent="0.3">
      <c r="A180" s="10" t="s">
        <v>62</v>
      </c>
      <c r="B180" s="12">
        <v>2934</v>
      </c>
      <c r="C180" s="2">
        <v>46659.202065000005</v>
      </c>
      <c r="F180" t="s">
        <v>62</v>
      </c>
      <c r="G180">
        <v>2934</v>
      </c>
      <c r="H180" s="2">
        <v>615170.85206499987</v>
      </c>
    </row>
    <row r="181" spans="1:8" x14ac:dyDescent="0.3">
      <c r="A181" s="10" t="s">
        <v>76</v>
      </c>
      <c r="B181" s="12">
        <v>5363</v>
      </c>
      <c r="C181" s="2">
        <v>369932.81920000009</v>
      </c>
      <c r="F181" t="s">
        <v>76</v>
      </c>
      <c r="G181">
        <v>5363</v>
      </c>
      <c r="H181" s="2">
        <v>1253045.4691999997</v>
      </c>
    </row>
    <row r="182" spans="1:8" x14ac:dyDescent="0.3">
      <c r="A182" s="10" t="s">
        <v>75</v>
      </c>
      <c r="B182" s="12">
        <v>3150</v>
      </c>
      <c r="C182" s="2">
        <v>96860.85275999998</v>
      </c>
      <c r="F182" t="s">
        <v>75</v>
      </c>
      <c r="G182">
        <v>3150</v>
      </c>
      <c r="H182" s="2">
        <v>342499.95275999996</v>
      </c>
    </row>
    <row r="183" spans="1:8" x14ac:dyDescent="0.3">
      <c r="A183" s="10" t="s">
        <v>47</v>
      </c>
      <c r="B183" s="12">
        <v>3025</v>
      </c>
      <c r="C183" s="2">
        <v>86627.94017500004</v>
      </c>
      <c r="F183" t="s">
        <v>47</v>
      </c>
      <c r="G183">
        <v>3025</v>
      </c>
      <c r="H183" s="2">
        <v>419231.54017500003</v>
      </c>
    </row>
    <row r="184" spans="1:8" x14ac:dyDescent="0.3">
      <c r="A184" s="10" t="s">
        <v>60</v>
      </c>
      <c r="B184" s="12">
        <v>3091</v>
      </c>
      <c r="C184" s="2">
        <v>115492.69287500001</v>
      </c>
      <c r="F184" t="s">
        <v>60</v>
      </c>
      <c r="G184">
        <v>3091</v>
      </c>
      <c r="H184" s="2">
        <v>445852.44287500007</v>
      </c>
    </row>
    <row r="185" spans="1:8" x14ac:dyDescent="0.3">
      <c r="A185" s="10" t="s">
        <v>53</v>
      </c>
      <c r="B185" s="12">
        <v>2543</v>
      </c>
      <c r="C185" s="2">
        <v>27735.639925000003</v>
      </c>
      <c r="F185" t="s">
        <v>53</v>
      </c>
      <c r="G185">
        <v>2543</v>
      </c>
      <c r="H185" s="2">
        <v>141092.239925</v>
      </c>
    </row>
    <row r="186" spans="1:8" x14ac:dyDescent="0.3">
      <c r="A186" s="10" t="s">
        <v>79</v>
      </c>
      <c r="B186" s="12">
        <v>4106</v>
      </c>
      <c r="C186" s="2">
        <v>45569.32996000001</v>
      </c>
      <c r="F186" t="s">
        <v>79</v>
      </c>
      <c r="G186">
        <v>4106</v>
      </c>
      <c r="H186" s="2">
        <v>228865.37996000002</v>
      </c>
    </row>
    <row r="187" spans="1:8" x14ac:dyDescent="0.3">
      <c r="A187" s="10" t="s">
        <v>70</v>
      </c>
      <c r="B187" s="12">
        <v>3401</v>
      </c>
      <c r="C187" s="2">
        <v>60445.418179999993</v>
      </c>
      <c r="F187" t="s">
        <v>70</v>
      </c>
      <c r="G187">
        <v>3401</v>
      </c>
      <c r="H187" s="2">
        <v>294130.26818000001</v>
      </c>
    </row>
    <row r="188" spans="1:8" x14ac:dyDescent="0.3">
      <c r="A188" s="10" t="s">
        <v>34</v>
      </c>
      <c r="B188" s="12">
        <v>9559</v>
      </c>
      <c r="C188" s="2">
        <v>207110.18324500008</v>
      </c>
      <c r="F188" t="s">
        <v>34</v>
      </c>
      <c r="G188">
        <v>9559</v>
      </c>
      <c r="H188" s="2">
        <v>801822.48324500001</v>
      </c>
    </row>
    <row r="189" spans="1:8" x14ac:dyDescent="0.3">
      <c r="A189" s="10" t="s">
        <v>19</v>
      </c>
      <c r="B189" s="12">
        <v>3843</v>
      </c>
      <c r="C189" s="2">
        <v>178089.13037999999</v>
      </c>
      <c r="F189" t="s">
        <v>19</v>
      </c>
      <c r="G189">
        <v>3843</v>
      </c>
      <c r="H189" s="2">
        <v>653203.63037999987</v>
      </c>
    </row>
    <row r="190" spans="1:8" x14ac:dyDescent="0.3">
      <c r="A190" s="10" t="s">
        <v>57</v>
      </c>
      <c r="B190" s="12">
        <v>4370</v>
      </c>
      <c r="C190" s="2">
        <v>19999.130234999997</v>
      </c>
      <c r="F190" t="s">
        <v>57</v>
      </c>
      <c r="G190">
        <v>4370</v>
      </c>
      <c r="H190" s="2">
        <v>315043.88023499999</v>
      </c>
    </row>
    <row r="191" spans="1:8" x14ac:dyDescent="0.3">
      <c r="A191" s="10" t="s">
        <v>54</v>
      </c>
      <c r="B191" s="12">
        <v>5103</v>
      </c>
      <c r="C191" s="2">
        <v>46022.911725000027</v>
      </c>
      <c r="F191" t="s">
        <v>54</v>
      </c>
      <c r="G191">
        <v>5103</v>
      </c>
      <c r="H191" s="2">
        <v>356475.01172500005</v>
      </c>
    </row>
    <row r="192" spans="1:8" x14ac:dyDescent="0.3">
      <c r="A192" s="10" t="s">
        <v>81</v>
      </c>
      <c r="B192" s="12">
        <v>3378</v>
      </c>
      <c r="C192" s="2">
        <v>131023.08439500004</v>
      </c>
      <c r="F192" t="s">
        <v>81</v>
      </c>
      <c r="G192">
        <v>3378</v>
      </c>
      <c r="H192" s="2">
        <v>450056.13439500006</v>
      </c>
    </row>
    <row r="193" spans="1:8" x14ac:dyDescent="0.3">
      <c r="A193" s="10" t="s">
        <v>89</v>
      </c>
      <c r="B193" s="12">
        <v>4639</v>
      </c>
      <c r="C193" s="2">
        <v>98893.818345000007</v>
      </c>
      <c r="F193" t="s">
        <v>89</v>
      </c>
      <c r="G193">
        <v>4639</v>
      </c>
      <c r="H193" s="2">
        <v>348001.76834500005</v>
      </c>
    </row>
    <row r="194" spans="1:8" x14ac:dyDescent="0.3">
      <c r="A194" s="10" t="s">
        <v>80</v>
      </c>
      <c r="B194" s="12">
        <v>4292</v>
      </c>
      <c r="C194" s="2">
        <v>98308.938524999961</v>
      </c>
      <c r="F194" t="s">
        <v>80</v>
      </c>
      <c r="G194">
        <v>4292</v>
      </c>
      <c r="H194" s="2">
        <v>291432.28852499998</v>
      </c>
    </row>
    <row r="195" spans="1:8" x14ac:dyDescent="0.3">
      <c r="A195" s="10" t="s">
        <v>25</v>
      </c>
      <c r="B195" s="12">
        <v>2208</v>
      </c>
      <c r="C195" s="2">
        <v>62112.709085000002</v>
      </c>
      <c r="F195" t="s">
        <v>25</v>
      </c>
      <c r="G195">
        <v>2208</v>
      </c>
      <c r="H195" s="2">
        <v>180666.45908500001</v>
      </c>
    </row>
    <row r="196" spans="1:8" x14ac:dyDescent="0.3">
      <c r="A196" s="10" t="s">
        <v>73</v>
      </c>
      <c r="B196" s="12">
        <v>3892</v>
      </c>
      <c r="C196" s="2">
        <v>117875.50729499999</v>
      </c>
      <c r="F196" t="s">
        <v>73</v>
      </c>
      <c r="G196">
        <v>3892</v>
      </c>
      <c r="H196" s="2">
        <v>456496.65729499998</v>
      </c>
    </row>
    <row r="197" spans="1:8" x14ac:dyDescent="0.3">
      <c r="A197" s="10" t="s">
        <v>72</v>
      </c>
      <c r="B197" s="12">
        <v>3309</v>
      </c>
      <c r="C197" s="2">
        <v>52747.853550000014</v>
      </c>
      <c r="F197" t="s">
        <v>72</v>
      </c>
      <c r="G197">
        <v>3309</v>
      </c>
      <c r="H197" s="2">
        <v>165314.50355000005</v>
      </c>
    </row>
    <row r="202" spans="1:8" x14ac:dyDescent="0.3">
      <c r="A202" s="9" t="s">
        <v>693</v>
      </c>
      <c r="B202" t="s">
        <v>687</v>
      </c>
    </row>
    <row r="203" spans="1:8" x14ac:dyDescent="0.3">
      <c r="A203" s="10" t="s">
        <v>76</v>
      </c>
      <c r="B203" s="2">
        <v>1253045.4691999997</v>
      </c>
    </row>
    <row r="204" spans="1:8" x14ac:dyDescent="0.3">
      <c r="A204" s="10" t="s">
        <v>34</v>
      </c>
      <c r="B204" s="2">
        <v>801822.48324500001</v>
      </c>
    </row>
    <row r="205" spans="1:8" x14ac:dyDescent="0.3">
      <c r="A205" s="10" t="s">
        <v>19</v>
      </c>
      <c r="B205" s="2">
        <v>653203.63037999987</v>
      </c>
    </row>
    <row r="206" spans="1:8" x14ac:dyDescent="0.3">
      <c r="A206" s="10" t="s">
        <v>56</v>
      </c>
      <c r="B206" s="2">
        <v>627317.49479000003</v>
      </c>
    </row>
    <row r="207" spans="1:8" x14ac:dyDescent="0.3">
      <c r="A207" s="10" t="s">
        <v>62</v>
      </c>
      <c r="B207" s="2">
        <v>615170.85206499987</v>
      </c>
    </row>
    <row r="208" spans="1:8" x14ac:dyDescent="0.3">
      <c r="A208" s="10" t="s">
        <v>694</v>
      </c>
      <c r="B208" s="2">
        <v>3950559.9296800001</v>
      </c>
    </row>
    <row r="224" spans="1:2" x14ac:dyDescent="0.3">
      <c r="A224" s="9" t="s">
        <v>693</v>
      </c>
      <c r="B224" t="s">
        <v>710</v>
      </c>
    </row>
    <row r="225" spans="1:5" x14ac:dyDescent="0.3">
      <c r="A225" s="10" t="s">
        <v>53</v>
      </c>
      <c r="B225" s="14">
        <v>0.1965780679344474</v>
      </c>
      <c r="E225" s="4"/>
    </row>
    <row r="226" spans="1:5" x14ac:dyDescent="0.3">
      <c r="A226" s="10" t="s">
        <v>54</v>
      </c>
      <c r="B226" s="14">
        <v>0.12910557601861883</v>
      </c>
    </row>
    <row r="227" spans="1:5" x14ac:dyDescent="0.3">
      <c r="A227" s="10" t="s">
        <v>74</v>
      </c>
      <c r="B227" s="14">
        <v>0.1149768851797428</v>
      </c>
    </row>
    <row r="228" spans="1:5" x14ac:dyDescent="0.3">
      <c r="A228" s="10" t="s">
        <v>62</v>
      </c>
      <c r="B228" s="14">
        <v>7.584755016980213E-2</v>
      </c>
    </row>
    <row r="229" spans="1:5" x14ac:dyDescent="0.3">
      <c r="A229" s="10" t="s">
        <v>57</v>
      </c>
      <c r="B229" s="14">
        <v>6.3480459357223795E-2</v>
      </c>
    </row>
    <row r="230" spans="1:5" x14ac:dyDescent="0.3">
      <c r="A230" s="10" t="s">
        <v>694</v>
      </c>
      <c r="B230" s="2">
        <v>0.10248767271305671</v>
      </c>
    </row>
  </sheetData>
  <pageMargins left="0.7" right="0.7" top="0.75" bottom="0.75" header="0.3" footer="0.3"/>
  <pageSetup orientation="portrait" r:id="rId11"/>
  <drawing r:id="rId12"/>
  <tableParts count="4">
    <tablePart r:id="rId13"/>
    <tablePart r:id="rId14"/>
    <tablePart r:id="rId15"/>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8304-9DF1-4010-9323-323B7D09F1C9}">
  <dimension ref="A1:V576"/>
  <sheetViews>
    <sheetView workbookViewId="0">
      <selection activeCell="M7" sqref="M7"/>
    </sheetView>
  </sheetViews>
  <sheetFormatPr defaultRowHeight="14.4" x14ac:dyDescent="0.3"/>
  <cols>
    <col min="1" max="1" width="8.5546875" bestFit="1" customWidth="1"/>
    <col min="2" max="2" width="17.44140625" style="1" bestFit="1" customWidth="1"/>
    <col min="3" max="3" width="12.88671875" bestFit="1" customWidth="1"/>
    <col min="4" max="4" width="15" bestFit="1" customWidth="1"/>
    <col min="5" max="5" width="9" bestFit="1" customWidth="1"/>
    <col min="6" max="6" width="9.77734375" bestFit="1" customWidth="1"/>
    <col min="7" max="7" width="14.21875" bestFit="1" customWidth="1"/>
    <col min="8" max="8" width="16.5546875" bestFit="1" customWidth="1"/>
    <col min="9" max="9" width="15.44140625" bestFit="1" customWidth="1"/>
    <col min="10" max="10" width="17.44140625" bestFit="1" customWidth="1"/>
    <col min="11" max="11" width="18.5546875" bestFit="1" customWidth="1"/>
    <col min="12" max="12" width="20" bestFit="1" customWidth="1"/>
    <col min="13" max="13" width="12.21875" style="3" bestFit="1" customWidth="1"/>
    <col min="14" max="14" width="16" style="2" bestFit="1" customWidth="1"/>
    <col min="15" max="15" width="14.21875" customWidth="1"/>
    <col min="16" max="16" width="17.109375" bestFit="1" customWidth="1"/>
    <col min="17" max="17" width="22.44140625" style="2" bestFit="1" customWidth="1"/>
    <col min="18" max="18" width="13.21875" style="2" bestFit="1" customWidth="1"/>
    <col min="19" max="19" width="19" bestFit="1" customWidth="1"/>
    <col min="20" max="20" width="18.6640625" style="2" bestFit="1" customWidth="1"/>
    <col min="21" max="21" width="11.88671875" bestFit="1" customWidth="1"/>
    <col min="22" max="22" width="18.6640625" style="4" bestFit="1" customWidth="1"/>
  </cols>
  <sheetData>
    <row r="1" spans="1:22" x14ac:dyDescent="0.3">
      <c r="A1" t="s">
        <v>661</v>
      </c>
      <c r="B1" t="s">
        <v>0</v>
      </c>
      <c r="C1" s="1" t="s">
        <v>1</v>
      </c>
      <c r="D1" t="s">
        <v>2</v>
      </c>
      <c r="E1" t="s">
        <v>3</v>
      </c>
      <c r="F1" t="s">
        <v>4</v>
      </c>
      <c r="G1" t="s">
        <v>5</v>
      </c>
      <c r="H1" t="s">
        <v>6</v>
      </c>
      <c r="I1" t="s">
        <v>7</v>
      </c>
      <c r="J1" t="s">
        <v>8</v>
      </c>
      <c r="K1" t="s">
        <v>9</v>
      </c>
      <c r="L1" t="s">
        <v>10</v>
      </c>
      <c r="M1" s="3" t="s">
        <v>11</v>
      </c>
      <c r="N1" s="2" t="s">
        <v>665</v>
      </c>
      <c r="O1" t="s">
        <v>12</v>
      </c>
      <c r="P1" t="s">
        <v>666</v>
      </c>
      <c r="Q1" s="2" t="s">
        <v>667</v>
      </c>
      <c r="R1" s="2" t="s">
        <v>668</v>
      </c>
      <c r="S1" t="s">
        <v>669</v>
      </c>
      <c r="T1" s="2" t="s">
        <v>670</v>
      </c>
      <c r="U1" t="s">
        <v>671</v>
      </c>
      <c r="V1" t="s">
        <v>13</v>
      </c>
    </row>
    <row r="2" spans="1:22" x14ac:dyDescent="0.3">
      <c r="A2">
        <f t="shared" ref="A2:A65" si="0">ROW(B1)</f>
        <v>1</v>
      </c>
      <c r="B2" t="s">
        <v>40</v>
      </c>
      <c r="C2" s="1">
        <v>45735</v>
      </c>
      <c r="D2" t="s">
        <v>41</v>
      </c>
      <c r="E2" s="6" t="s">
        <v>662</v>
      </c>
      <c r="F2" s="6" t="s">
        <v>42</v>
      </c>
      <c r="G2" s="6" t="s">
        <v>43</v>
      </c>
      <c r="H2" t="s">
        <v>15</v>
      </c>
      <c r="I2" s="6" t="s">
        <v>16</v>
      </c>
      <c r="J2" s="6" t="s">
        <v>36</v>
      </c>
      <c r="K2" s="6" t="s">
        <v>18</v>
      </c>
      <c r="L2" s="6" t="s">
        <v>29</v>
      </c>
      <c r="M2" s="12">
        <v>155</v>
      </c>
      <c r="N2" s="2">
        <v>169.05</v>
      </c>
      <c r="O2" s="4">
        <v>8.3199999999999996E-2</v>
      </c>
      <c r="P2" s="2">
        <v>26202.75</v>
      </c>
      <c r="Q2" s="2">
        <v>2630.9500000000003</v>
      </c>
      <c r="R2" s="2">
        <v>14158.55</v>
      </c>
      <c r="S2" s="2">
        <v>1598.45</v>
      </c>
      <c r="T2" s="2">
        <v>24022.681200000003</v>
      </c>
      <c r="U2" s="2">
        <v>5634.731200000002</v>
      </c>
      <c r="V2" s="5">
        <v>0.23455879687567935</v>
      </c>
    </row>
    <row r="3" spans="1:22" x14ac:dyDescent="0.3">
      <c r="A3">
        <f t="shared" si="0"/>
        <v>2</v>
      </c>
      <c r="B3" t="s">
        <v>85</v>
      </c>
      <c r="C3" s="1">
        <v>45825</v>
      </c>
      <c r="D3" t="s">
        <v>58</v>
      </c>
      <c r="E3" s="6" t="s">
        <v>663</v>
      </c>
      <c r="F3" s="6" t="s">
        <v>21</v>
      </c>
      <c r="G3" s="6" t="s">
        <v>65</v>
      </c>
      <c r="H3" t="s">
        <v>15</v>
      </c>
      <c r="I3" s="6" t="s">
        <v>23</v>
      </c>
      <c r="J3" s="6" t="s">
        <v>24</v>
      </c>
      <c r="K3" s="6" t="s">
        <v>37</v>
      </c>
      <c r="L3" s="6" t="s">
        <v>38</v>
      </c>
      <c r="M3" s="12">
        <v>26</v>
      </c>
      <c r="N3" s="2">
        <v>78.05</v>
      </c>
      <c r="O3" s="4">
        <v>0.10009999999999999</v>
      </c>
      <c r="P3" s="2">
        <v>2029.3</v>
      </c>
      <c r="Q3" s="2">
        <v>266</v>
      </c>
      <c r="R3" s="2">
        <v>917.35</v>
      </c>
      <c r="S3" s="2">
        <v>173.6</v>
      </c>
      <c r="T3" s="2">
        <v>1826.16707</v>
      </c>
      <c r="U3" s="2">
        <v>469.21707000000004</v>
      </c>
      <c r="V3" s="5">
        <v>0.25694093257305317</v>
      </c>
    </row>
    <row r="4" spans="1:22" x14ac:dyDescent="0.3">
      <c r="A4">
        <f t="shared" si="0"/>
        <v>3</v>
      </c>
      <c r="B4" t="s">
        <v>86</v>
      </c>
      <c r="C4" s="1">
        <v>45826</v>
      </c>
      <c r="D4" t="s">
        <v>58</v>
      </c>
      <c r="E4" s="6" t="s">
        <v>664</v>
      </c>
      <c r="F4" s="6" t="s">
        <v>63</v>
      </c>
      <c r="G4" s="6" t="s">
        <v>43</v>
      </c>
      <c r="H4" t="s">
        <v>15</v>
      </c>
      <c r="I4" s="6" t="s">
        <v>23</v>
      </c>
      <c r="J4" s="6" t="s">
        <v>32</v>
      </c>
      <c r="K4" s="6" t="s">
        <v>46</v>
      </c>
      <c r="L4" s="6" t="s">
        <v>51</v>
      </c>
      <c r="M4" s="12">
        <v>42</v>
      </c>
      <c r="N4" s="2">
        <v>143.5</v>
      </c>
      <c r="O4" s="4">
        <v>6.3799999999999996E-2</v>
      </c>
      <c r="P4" s="2">
        <v>6027</v>
      </c>
      <c r="Q4" s="2">
        <v>810.6</v>
      </c>
      <c r="R4" s="2">
        <v>2826.6000000000004</v>
      </c>
      <c r="S4" s="2">
        <v>679</v>
      </c>
      <c r="T4" s="2">
        <v>5642.4773999999998</v>
      </c>
      <c r="U4" s="2">
        <v>1326.2773999999995</v>
      </c>
      <c r="V4" s="5">
        <v>0.2350523193943142</v>
      </c>
    </row>
    <row r="5" spans="1:22" x14ac:dyDescent="0.3">
      <c r="A5">
        <f t="shared" si="0"/>
        <v>4</v>
      </c>
      <c r="B5" t="s">
        <v>87</v>
      </c>
      <c r="C5" s="1">
        <v>45979</v>
      </c>
      <c r="D5" t="s">
        <v>67</v>
      </c>
      <c r="E5" s="6" t="s">
        <v>662</v>
      </c>
      <c r="F5" s="6" t="s">
        <v>66</v>
      </c>
      <c r="G5" s="6" t="s">
        <v>22</v>
      </c>
      <c r="H5" t="s">
        <v>27</v>
      </c>
      <c r="I5" s="6" t="s">
        <v>28</v>
      </c>
      <c r="J5" s="6" t="s">
        <v>17</v>
      </c>
      <c r="K5" s="6" t="s">
        <v>46</v>
      </c>
      <c r="L5" s="6" t="s">
        <v>47</v>
      </c>
      <c r="M5" s="12">
        <v>516</v>
      </c>
      <c r="N5" s="2">
        <v>158.9</v>
      </c>
      <c r="O5" s="4">
        <v>0.184</v>
      </c>
      <c r="P5" s="2">
        <v>81992.399999999994</v>
      </c>
      <c r="Q5" s="2">
        <v>14170.45</v>
      </c>
      <c r="R5" s="2">
        <v>41149.5</v>
      </c>
      <c r="S5" s="2">
        <v>4373.5999999999995</v>
      </c>
      <c r="T5" s="2">
        <v>66905.798400000014</v>
      </c>
      <c r="U5" s="2">
        <v>7212.248400000015</v>
      </c>
      <c r="V5" s="5">
        <v>0.10779706053100493</v>
      </c>
    </row>
    <row r="6" spans="1:22" x14ac:dyDescent="0.3">
      <c r="A6">
        <f t="shared" si="0"/>
        <v>5</v>
      </c>
      <c r="B6" t="s">
        <v>88</v>
      </c>
      <c r="C6" s="1">
        <v>45926</v>
      </c>
      <c r="D6" t="s">
        <v>14</v>
      </c>
      <c r="E6" s="6" t="s">
        <v>664</v>
      </c>
      <c r="F6" s="6" t="s">
        <v>63</v>
      </c>
      <c r="G6" s="6" t="s">
        <v>43</v>
      </c>
      <c r="H6" t="s">
        <v>15</v>
      </c>
      <c r="I6" s="6" t="s">
        <v>23</v>
      </c>
      <c r="J6" s="6" t="s">
        <v>84</v>
      </c>
      <c r="K6" s="6" t="s">
        <v>37</v>
      </c>
      <c r="L6" s="6" t="s">
        <v>77</v>
      </c>
      <c r="M6" s="12">
        <v>30</v>
      </c>
      <c r="N6" s="2">
        <v>200.55</v>
      </c>
      <c r="O6" s="4">
        <v>0.12619999999999998</v>
      </c>
      <c r="P6" s="2">
        <v>6016.5</v>
      </c>
      <c r="Q6" s="2">
        <v>941.15</v>
      </c>
      <c r="R6" s="2">
        <v>3069.85</v>
      </c>
      <c r="S6" s="2">
        <v>519.04999999999995</v>
      </c>
      <c r="T6" s="2">
        <v>5257.2177000000001</v>
      </c>
      <c r="U6" s="2">
        <v>727.16770000000008</v>
      </c>
      <c r="V6" s="5">
        <v>0.1383179737829765</v>
      </c>
    </row>
    <row r="7" spans="1:22" x14ac:dyDescent="0.3">
      <c r="A7">
        <f t="shared" si="0"/>
        <v>6</v>
      </c>
      <c r="B7" t="s">
        <v>91</v>
      </c>
      <c r="C7" s="1">
        <v>45788</v>
      </c>
      <c r="D7" t="s">
        <v>30</v>
      </c>
      <c r="E7" s="6" t="s">
        <v>663</v>
      </c>
      <c r="F7" s="6" t="s">
        <v>21</v>
      </c>
      <c r="G7" s="6" t="s">
        <v>43</v>
      </c>
      <c r="H7" t="s">
        <v>15</v>
      </c>
      <c r="I7" s="6" t="s">
        <v>23</v>
      </c>
      <c r="J7" s="6" t="s">
        <v>17</v>
      </c>
      <c r="K7" s="6" t="s">
        <v>48</v>
      </c>
      <c r="L7" s="6" t="s">
        <v>74</v>
      </c>
      <c r="M7" s="12">
        <v>53</v>
      </c>
      <c r="N7" s="2">
        <v>145.6</v>
      </c>
      <c r="O7" s="4">
        <v>0.1512</v>
      </c>
      <c r="P7" s="2">
        <v>7716.7999999999993</v>
      </c>
      <c r="Q7" s="2">
        <v>1402.45</v>
      </c>
      <c r="R7" s="2">
        <v>4235.7</v>
      </c>
      <c r="S7" s="2">
        <v>810.95</v>
      </c>
      <c r="T7" s="2">
        <v>6550.019839999999</v>
      </c>
      <c r="U7" s="2">
        <v>100.91983999999934</v>
      </c>
      <c r="V7" s="5">
        <v>1.5407562490680846E-2</v>
      </c>
    </row>
    <row r="8" spans="1:22" x14ac:dyDescent="0.3">
      <c r="A8">
        <f t="shared" si="0"/>
        <v>7</v>
      </c>
      <c r="B8" t="s">
        <v>92</v>
      </c>
      <c r="C8" s="1">
        <v>45886</v>
      </c>
      <c r="D8" t="s">
        <v>35</v>
      </c>
      <c r="E8" s="6" t="s">
        <v>662</v>
      </c>
      <c r="F8" s="6" t="s">
        <v>66</v>
      </c>
      <c r="G8" s="6" t="s">
        <v>43</v>
      </c>
      <c r="H8" t="s">
        <v>27</v>
      </c>
      <c r="I8" s="6" t="s">
        <v>28</v>
      </c>
      <c r="J8" s="6" t="s">
        <v>36</v>
      </c>
      <c r="K8" s="6" t="s">
        <v>18</v>
      </c>
      <c r="L8" s="6" t="s">
        <v>71</v>
      </c>
      <c r="M8" s="12">
        <v>450</v>
      </c>
      <c r="N8" s="2">
        <v>84.7</v>
      </c>
      <c r="O8" s="4">
        <v>0.184</v>
      </c>
      <c r="P8" s="2">
        <v>38115</v>
      </c>
      <c r="Q8" s="2">
        <v>1670.2</v>
      </c>
      <c r="R8" s="2">
        <v>14928.900000000001</v>
      </c>
      <c r="S8" s="2">
        <v>1522.85</v>
      </c>
      <c r="T8" s="2">
        <v>31101.840000000004</v>
      </c>
      <c r="U8" s="2">
        <v>12979.890000000003</v>
      </c>
      <c r="V8" s="5">
        <v>0.41733511586452765</v>
      </c>
    </row>
    <row r="9" spans="1:22" x14ac:dyDescent="0.3">
      <c r="A9">
        <f t="shared" si="0"/>
        <v>8</v>
      </c>
      <c r="B9" t="s">
        <v>93</v>
      </c>
      <c r="C9" s="1">
        <v>45755</v>
      </c>
      <c r="D9" t="s">
        <v>61</v>
      </c>
      <c r="E9" s="6" t="s">
        <v>663</v>
      </c>
      <c r="F9" s="6" t="s">
        <v>21</v>
      </c>
      <c r="G9" s="6" t="s">
        <v>65</v>
      </c>
      <c r="H9" t="s">
        <v>15</v>
      </c>
      <c r="I9" s="6" t="s">
        <v>16</v>
      </c>
      <c r="J9" s="6" t="s">
        <v>52</v>
      </c>
      <c r="K9" s="6" t="s">
        <v>33</v>
      </c>
      <c r="L9" s="6" t="s">
        <v>78</v>
      </c>
      <c r="M9" s="12">
        <v>149</v>
      </c>
      <c r="N9" s="2">
        <v>91</v>
      </c>
      <c r="O9" s="4">
        <v>0.12670000000000001</v>
      </c>
      <c r="P9" s="2">
        <v>13559</v>
      </c>
      <c r="Q9" s="2">
        <v>1828.4</v>
      </c>
      <c r="R9" s="2">
        <v>7396.55</v>
      </c>
      <c r="S9" s="2">
        <v>833.34999999999991</v>
      </c>
      <c r="T9" s="2">
        <v>11841.074699999999</v>
      </c>
      <c r="U9" s="2">
        <v>1782.7746999999986</v>
      </c>
      <c r="V9" s="5">
        <v>0.15055852151663215</v>
      </c>
    </row>
    <row r="10" spans="1:22" x14ac:dyDescent="0.3">
      <c r="A10">
        <f t="shared" si="0"/>
        <v>9</v>
      </c>
      <c r="B10" t="s">
        <v>94</v>
      </c>
      <c r="C10" s="1">
        <v>45810</v>
      </c>
      <c r="D10" t="s">
        <v>58</v>
      </c>
      <c r="E10" s="6" t="s">
        <v>663</v>
      </c>
      <c r="F10" s="6" t="s">
        <v>21</v>
      </c>
      <c r="G10" s="6" t="s">
        <v>65</v>
      </c>
      <c r="H10" t="s">
        <v>15</v>
      </c>
      <c r="I10" s="6" t="s">
        <v>23</v>
      </c>
      <c r="J10" s="6" t="s">
        <v>32</v>
      </c>
      <c r="K10" s="6" t="s">
        <v>37</v>
      </c>
      <c r="L10" s="6" t="s">
        <v>38</v>
      </c>
      <c r="M10" s="12">
        <v>51</v>
      </c>
      <c r="N10" s="2">
        <v>79.8</v>
      </c>
      <c r="O10" s="4">
        <v>7.5700000000000003E-2</v>
      </c>
      <c r="P10" s="2">
        <v>4069.7999999999997</v>
      </c>
      <c r="Q10" s="2">
        <v>494.2</v>
      </c>
      <c r="R10" s="2">
        <v>2039.8</v>
      </c>
      <c r="S10" s="2">
        <v>415.8</v>
      </c>
      <c r="T10" s="2">
        <v>3761.71614</v>
      </c>
      <c r="U10" s="2">
        <v>811.91613999999981</v>
      </c>
      <c r="V10" s="5">
        <v>0.21583663141578774</v>
      </c>
    </row>
    <row r="11" spans="1:22" x14ac:dyDescent="0.3">
      <c r="A11">
        <f t="shared" si="0"/>
        <v>10</v>
      </c>
      <c r="B11" t="s">
        <v>95</v>
      </c>
      <c r="C11" s="1">
        <v>45713</v>
      </c>
      <c r="D11" t="s">
        <v>55</v>
      </c>
      <c r="E11" s="6" t="s">
        <v>662</v>
      </c>
      <c r="F11" s="6" t="s">
        <v>42</v>
      </c>
      <c r="G11" s="6" t="s">
        <v>68</v>
      </c>
      <c r="H11" t="s">
        <v>15</v>
      </c>
      <c r="I11" s="6" t="s">
        <v>31</v>
      </c>
      <c r="J11" s="6" t="s">
        <v>32</v>
      </c>
      <c r="K11" s="6" t="s">
        <v>48</v>
      </c>
      <c r="L11" s="6" t="s">
        <v>54</v>
      </c>
      <c r="M11" s="12">
        <v>286</v>
      </c>
      <c r="N11" s="2">
        <v>79.45</v>
      </c>
      <c r="O11" s="4">
        <v>8.1099999999999992E-2</v>
      </c>
      <c r="P11" s="2">
        <v>22722.7</v>
      </c>
      <c r="Q11" s="2">
        <v>1352.75</v>
      </c>
      <c r="R11" s="2">
        <v>13849.849999999999</v>
      </c>
      <c r="S11" s="2">
        <v>1234.45</v>
      </c>
      <c r="T11" s="2">
        <v>20879.889030000002</v>
      </c>
      <c r="U11" s="2">
        <v>4442.8390300000028</v>
      </c>
      <c r="V11" s="5">
        <v>0.21278077788711325</v>
      </c>
    </row>
    <row r="12" spans="1:22" x14ac:dyDescent="0.3">
      <c r="A12">
        <f t="shared" si="0"/>
        <v>11</v>
      </c>
      <c r="B12" t="s">
        <v>96</v>
      </c>
      <c r="C12" s="1">
        <v>45715</v>
      </c>
      <c r="D12" t="s">
        <v>55</v>
      </c>
      <c r="E12" s="6" t="s">
        <v>662</v>
      </c>
      <c r="F12" s="6" t="s">
        <v>42</v>
      </c>
      <c r="G12" s="6" t="s">
        <v>65</v>
      </c>
      <c r="H12" t="s">
        <v>27</v>
      </c>
      <c r="I12" s="6" t="s">
        <v>28</v>
      </c>
      <c r="J12" s="6" t="s">
        <v>17</v>
      </c>
      <c r="K12" s="6" t="s">
        <v>33</v>
      </c>
      <c r="L12" s="6" t="s">
        <v>73</v>
      </c>
      <c r="M12" s="12">
        <v>368</v>
      </c>
      <c r="N12" s="2">
        <v>130.55000000000001</v>
      </c>
      <c r="O12" s="4">
        <v>0.17480000000000001</v>
      </c>
      <c r="P12" s="2">
        <v>48042.400000000001</v>
      </c>
      <c r="Q12" s="2">
        <v>3801.7000000000003</v>
      </c>
      <c r="R12" s="2">
        <v>21550.9</v>
      </c>
      <c r="S12" s="2">
        <v>2373.35</v>
      </c>
      <c r="T12" s="2">
        <v>39644.588479999999</v>
      </c>
      <c r="U12" s="2">
        <v>11918.638479999998</v>
      </c>
      <c r="V12" s="5">
        <v>0.30063721019610889</v>
      </c>
    </row>
    <row r="13" spans="1:22" x14ac:dyDescent="0.3">
      <c r="A13">
        <f t="shared" si="0"/>
        <v>12</v>
      </c>
      <c r="B13" t="s">
        <v>97</v>
      </c>
      <c r="C13" s="1">
        <v>45830</v>
      </c>
      <c r="D13" t="s">
        <v>58</v>
      </c>
      <c r="E13" s="6" t="s">
        <v>662</v>
      </c>
      <c r="F13" s="6" t="s">
        <v>66</v>
      </c>
      <c r="G13" s="6" t="s">
        <v>65</v>
      </c>
      <c r="H13" t="s">
        <v>27</v>
      </c>
      <c r="I13" s="6" t="s">
        <v>16</v>
      </c>
      <c r="J13" s="6" t="s">
        <v>36</v>
      </c>
      <c r="K13" s="6" t="s">
        <v>48</v>
      </c>
      <c r="L13" s="6" t="s">
        <v>49</v>
      </c>
      <c r="M13" s="12">
        <v>199</v>
      </c>
      <c r="N13" s="2">
        <v>113.75</v>
      </c>
      <c r="O13" s="4">
        <v>0.128</v>
      </c>
      <c r="P13" s="2">
        <v>22636.25</v>
      </c>
      <c r="Q13" s="2">
        <v>2249.8000000000002</v>
      </c>
      <c r="R13" s="2">
        <v>11755.1</v>
      </c>
      <c r="S13" s="2">
        <v>1753.15</v>
      </c>
      <c r="T13" s="2">
        <v>19738.810000000001</v>
      </c>
      <c r="U13" s="2">
        <v>3980.7599999999993</v>
      </c>
      <c r="V13" s="5">
        <v>0.20167173198384294</v>
      </c>
    </row>
    <row r="14" spans="1:22" x14ac:dyDescent="0.3">
      <c r="A14">
        <f t="shared" si="0"/>
        <v>13</v>
      </c>
      <c r="B14" t="s">
        <v>98</v>
      </c>
      <c r="C14" s="1">
        <v>45846</v>
      </c>
      <c r="D14" t="s">
        <v>26</v>
      </c>
      <c r="E14" s="6" t="s">
        <v>662</v>
      </c>
      <c r="F14" s="6" t="s">
        <v>42</v>
      </c>
      <c r="G14" s="6" t="s">
        <v>65</v>
      </c>
      <c r="H14" t="s">
        <v>15</v>
      </c>
      <c r="I14" s="6" t="s">
        <v>23</v>
      </c>
      <c r="J14" s="6" t="s">
        <v>52</v>
      </c>
      <c r="K14" s="6" t="s">
        <v>48</v>
      </c>
      <c r="L14" s="6" t="s">
        <v>54</v>
      </c>
      <c r="M14" s="12">
        <v>42</v>
      </c>
      <c r="N14" s="2">
        <v>81.199999999999989</v>
      </c>
      <c r="O14" s="4">
        <v>9.11E-2</v>
      </c>
      <c r="P14" s="2">
        <v>3410.3999999999996</v>
      </c>
      <c r="Q14" s="2">
        <v>698.25</v>
      </c>
      <c r="R14" s="2">
        <v>2263.8000000000002</v>
      </c>
      <c r="S14" s="2">
        <v>376.95</v>
      </c>
      <c r="T14" s="2">
        <v>3099.7125599999999</v>
      </c>
      <c r="U14" s="2">
        <v>-239.28744000000006</v>
      </c>
      <c r="V14" s="5">
        <v>-7.7196654647229634E-2</v>
      </c>
    </row>
    <row r="15" spans="1:22" x14ac:dyDescent="0.3">
      <c r="A15">
        <f t="shared" si="0"/>
        <v>14</v>
      </c>
      <c r="B15" t="s">
        <v>99</v>
      </c>
      <c r="C15" s="1">
        <v>45727</v>
      </c>
      <c r="D15" t="s">
        <v>41</v>
      </c>
      <c r="E15" s="6" t="s">
        <v>662</v>
      </c>
      <c r="F15" s="6" t="s">
        <v>66</v>
      </c>
      <c r="G15" s="6" t="s">
        <v>64</v>
      </c>
      <c r="H15" t="s">
        <v>27</v>
      </c>
      <c r="I15" s="6" t="s">
        <v>16</v>
      </c>
      <c r="J15" s="6" t="s">
        <v>52</v>
      </c>
      <c r="K15" s="6" t="s">
        <v>18</v>
      </c>
      <c r="L15" s="6" t="s">
        <v>19</v>
      </c>
      <c r="M15" s="12">
        <v>128</v>
      </c>
      <c r="N15" s="2">
        <v>204.4</v>
      </c>
      <c r="O15" s="4">
        <v>0.21190000000000001</v>
      </c>
      <c r="P15" s="2">
        <v>26163.200000000001</v>
      </c>
      <c r="Q15" s="2">
        <v>3094.7000000000003</v>
      </c>
      <c r="R15" s="2">
        <v>12158.3</v>
      </c>
      <c r="S15" s="2">
        <v>1479.8</v>
      </c>
      <c r="T15" s="2">
        <v>20619.217920000003</v>
      </c>
      <c r="U15" s="2">
        <v>3886.417920000004</v>
      </c>
      <c r="V15" s="5">
        <v>0.18848522456471536</v>
      </c>
    </row>
    <row r="16" spans="1:22" x14ac:dyDescent="0.3">
      <c r="A16">
        <f t="shared" si="0"/>
        <v>15</v>
      </c>
      <c r="B16" t="s">
        <v>100</v>
      </c>
      <c r="C16" s="1">
        <v>45871</v>
      </c>
      <c r="D16" t="s">
        <v>35</v>
      </c>
      <c r="E16" s="6" t="s">
        <v>664</v>
      </c>
      <c r="F16" s="6" t="s">
        <v>63</v>
      </c>
      <c r="G16" s="6" t="s">
        <v>82</v>
      </c>
      <c r="H16" t="s">
        <v>27</v>
      </c>
      <c r="I16" s="6" t="s">
        <v>28</v>
      </c>
      <c r="J16" s="6" t="s">
        <v>32</v>
      </c>
      <c r="K16" s="6" t="s">
        <v>18</v>
      </c>
      <c r="L16" s="6" t="s">
        <v>80</v>
      </c>
      <c r="M16" s="12">
        <v>440</v>
      </c>
      <c r="N16" s="2">
        <v>80.150000000000006</v>
      </c>
      <c r="O16" s="4">
        <v>0.1115</v>
      </c>
      <c r="P16" s="2">
        <v>35266</v>
      </c>
      <c r="Q16" s="2">
        <v>1705.2</v>
      </c>
      <c r="R16" s="2">
        <v>15354.15</v>
      </c>
      <c r="S16" s="2">
        <v>1880.55</v>
      </c>
      <c r="T16" s="2">
        <v>31333.840999999997</v>
      </c>
      <c r="U16" s="2">
        <v>12393.940999999997</v>
      </c>
      <c r="V16" s="5">
        <v>0.3955448998416759</v>
      </c>
    </row>
    <row r="17" spans="1:22" x14ac:dyDescent="0.3">
      <c r="A17">
        <f t="shared" si="0"/>
        <v>16</v>
      </c>
      <c r="B17" t="s">
        <v>101</v>
      </c>
      <c r="C17" s="1">
        <v>45937</v>
      </c>
      <c r="D17" t="s">
        <v>20</v>
      </c>
      <c r="E17" s="6" t="s">
        <v>663</v>
      </c>
      <c r="F17" s="6" t="s">
        <v>21</v>
      </c>
      <c r="G17" s="6" t="s">
        <v>64</v>
      </c>
      <c r="H17" t="s">
        <v>27</v>
      </c>
      <c r="I17" s="6" t="s">
        <v>28</v>
      </c>
      <c r="J17" s="6" t="s">
        <v>32</v>
      </c>
      <c r="K17" s="6" t="s">
        <v>48</v>
      </c>
      <c r="L17" s="6" t="s">
        <v>56</v>
      </c>
      <c r="M17" s="12">
        <v>537</v>
      </c>
      <c r="N17" s="2">
        <v>112.35</v>
      </c>
      <c r="O17" s="4">
        <v>0.11609999999999999</v>
      </c>
      <c r="P17" s="2">
        <v>60331.95</v>
      </c>
      <c r="Q17" s="2">
        <v>4062.1</v>
      </c>
      <c r="R17" s="2">
        <v>30123.449999999997</v>
      </c>
      <c r="S17" s="2">
        <v>3791.2</v>
      </c>
      <c r="T17" s="2">
        <v>53327.410604999997</v>
      </c>
      <c r="U17" s="2">
        <v>15350.660605000003</v>
      </c>
      <c r="V17" s="5">
        <v>0.28785685318013021</v>
      </c>
    </row>
    <row r="18" spans="1:22" x14ac:dyDescent="0.3">
      <c r="A18">
        <f t="shared" si="0"/>
        <v>17</v>
      </c>
      <c r="B18" t="s">
        <v>102</v>
      </c>
      <c r="C18" s="1">
        <v>45920</v>
      </c>
      <c r="D18" t="s">
        <v>14</v>
      </c>
      <c r="E18" s="6" t="s">
        <v>662</v>
      </c>
      <c r="F18" s="6" t="s">
        <v>66</v>
      </c>
      <c r="G18" s="6" t="s">
        <v>65</v>
      </c>
      <c r="H18" t="s">
        <v>27</v>
      </c>
      <c r="I18" s="6" t="s">
        <v>16</v>
      </c>
      <c r="J18" s="6" t="s">
        <v>52</v>
      </c>
      <c r="K18" s="6" t="s">
        <v>33</v>
      </c>
      <c r="L18" s="6" t="s">
        <v>34</v>
      </c>
      <c r="M18" s="12">
        <v>197</v>
      </c>
      <c r="N18" s="2">
        <v>101.85000000000001</v>
      </c>
      <c r="O18" s="4">
        <v>0.23260000000000003</v>
      </c>
      <c r="P18" s="2">
        <v>20064.45</v>
      </c>
      <c r="Q18" s="2">
        <v>2666.3</v>
      </c>
      <c r="R18" s="2">
        <v>8124.55</v>
      </c>
      <c r="S18" s="2">
        <v>1129.45</v>
      </c>
      <c r="T18" s="2">
        <v>15397.458930000001</v>
      </c>
      <c r="U18" s="2">
        <v>3477.1589299999996</v>
      </c>
      <c r="V18" s="5">
        <v>0.22582680335813043</v>
      </c>
    </row>
    <row r="19" spans="1:22" x14ac:dyDescent="0.3">
      <c r="A19">
        <f t="shared" si="0"/>
        <v>18</v>
      </c>
      <c r="B19" t="s">
        <v>103</v>
      </c>
      <c r="C19" s="1">
        <v>45812</v>
      </c>
      <c r="D19" t="s">
        <v>58</v>
      </c>
      <c r="E19" s="6" t="s">
        <v>664</v>
      </c>
      <c r="F19" s="6" t="s">
        <v>63</v>
      </c>
      <c r="G19" s="6" t="s">
        <v>69</v>
      </c>
      <c r="H19" t="s">
        <v>27</v>
      </c>
      <c r="I19" s="6" t="s">
        <v>28</v>
      </c>
      <c r="J19" s="6" t="s">
        <v>32</v>
      </c>
      <c r="K19" s="6" t="s">
        <v>33</v>
      </c>
      <c r="L19" s="6" t="s">
        <v>79</v>
      </c>
      <c r="M19" s="12">
        <v>622</v>
      </c>
      <c r="N19" s="2">
        <v>59.5</v>
      </c>
      <c r="O19" s="4">
        <v>0.15529999999999999</v>
      </c>
      <c r="P19" s="2">
        <v>37009</v>
      </c>
      <c r="Q19" s="2">
        <v>2469.9499999999998</v>
      </c>
      <c r="R19" s="2">
        <v>18653.95</v>
      </c>
      <c r="S19" s="2">
        <v>1831.2</v>
      </c>
      <c r="T19" s="2">
        <v>31261.5023</v>
      </c>
      <c r="U19" s="2">
        <v>8306.4022999999979</v>
      </c>
      <c r="V19" s="5">
        <v>0.2657070738407859</v>
      </c>
    </row>
    <row r="20" spans="1:22" x14ac:dyDescent="0.3">
      <c r="A20">
        <f t="shared" si="0"/>
        <v>19</v>
      </c>
      <c r="B20" t="s">
        <v>104</v>
      </c>
      <c r="C20" s="1">
        <v>45697</v>
      </c>
      <c r="D20" t="s">
        <v>55</v>
      </c>
      <c r="E20" s="6" t="s">
        <v>662</v>
      </c>
      <c r="F20" s="6" t="s">
        <v>42</v>
      </c>
      <c r="G20" s="6" t="s">
        <v>69</v>
      </c>
      <c r="H20" t="s">
        <v>15</v>
      </c>
      <c r="I20" s="6" t="s">
        <v>23</v>
      </c>
      <c r="J20" s="6" t="s">
        <v>32</v>
      </c>
      <c r="K20" s="6" t="s">
        <v>46</v>
      </c>
      <c r="L20" s="6" t="s">
        <v>76</v>
      </c>
      <c r="M20" s="12">
        <v>16</v>
      </c>
      <c r="N20" s="2">
        <v>317.45</v>
      </c>
      <c r="O20" s="4">
        <v>5.33E-2</v>
      </c>
      <c r="P20" s="2">
        <v>5079.2</v>
      </c>
      <c r="Q20" s="2">
        <v>756.35</v>
      </c>
      <c r="R20" s="2">
        <v>2712.1499999999996</v>
      </c>
      <c r="S20" s="2">
        <v>548.45000000000005</v>
      </c>
      <c r="T20" s="2">
        <v>4808.4786399999994</v>
      </c>
      <c r="U20" s="2">
        <v>791.52863999999988</v>
      </c>
      <c r="V20" s="5">
        <v>0.16461103381338926</v>
      </c>
    </row>
    <row r="21" spans="1:22" x14ac:dyDescent="0.3">
      <c r="A21">
        <f t="shared" si="0"/>
        <v>20</v>
      </c>
      <c r="B21" t="s">
        <v>105</v>
      </c>
      <c r="C21" s="1">
        <v>45938</v>
      </c>
      <c r="D21" t="s">
        <v>20</v>
      </c>
      <c r="E21" s="6" t="s">
        <v>662</v>
      </c>
      <c r="F21" s="6" t="s">
        <v>66</v>
      </c>
      <c r="G21" s="6" t="s">
        <v>43</v>
      </c>
      <c r="H21" t="s">
        <v>15</v>
      </c>
      <c r="I21" s="6" t="s">
        <v>16</v>
      </c>
      <c r="J21" s="6" t="s">
        <v>32</v>
      </c>
      <c r="K21" s="6" t="s">
        <v>48</v>
      </c>
      <c r="L21" s="6" t="s">
        <v>74</v>
      </c>
      <c r="M21" s="12">
        <v>26</v>
      </c>
      <c r="N21" s="2">
        <v>133</v>
      </c>
      <c r="O21" s="4">
        <v>2.92E-2</v>
      </c>
      <c r="P21" s="2">
        <v>3458</v>
      </c>
      <c r="Q21" s="2">
        <v>386.75</v>
      </c>
      <c r="R21" s="2">
        <v>2370.5500000000002</v>
      </c>
      <c r="S21" s="2">
        <v>285.95</v>
      </c>
      <c r="T21" s="2">
        <v>3357.0264000000002</v>
      </c>
      <c r="U21" s="2">
        <v>313.77640000000019</v>
      </c>
      <c r="V21" s="5">
        <v>9.3468553002740817E-2</v>
      </c>
    </row>
    <row r="22" spans="1:22" x14ac:dyDescent="0.3">
      <c r="A22">
        <f t="shared" si="0"/>
        <v>21</v>
      </c>
      <c r="B22" t="s">
        <v>106</v>
      </c>
      <c r="C22" s="1">
        <v>45968</v>
      </c>
      <c r="D22" t="s">
        <v>67</v>
      </c>
      <c r="E22" s="6" t="s">
        <v>662</v>
      </c>
      <c r="F22" s="6" t="s">
        <v>42</v>
      </c>
      <c r="G22" s="6" t="s">
        <v>69</v>
      </c>
      <c r="H22" t="s">
        <v>27</v>
      </c>
      <c r="I22" s="6" t="s">
        <v>28</v>
      </c>
      <c r="J22" s="6" t="s">
        <v>24</v>
      </c>
      <c r="K22" s="6" t="s">
        <v>37</v>
      </c>
      <c r="L22" s="6" t="s">
        <v>60</v>
      </c>
      <c r="M22" s="12">
        <v>370</v>
      </c>
      <c r="N22" s="2">
        <v>172.2</v>
      </c>
      <c r="O22" s="4">
        <v>0.15490000000000001</v>
      </c>
      <c r="P22" s="2">
        <v>63713.999999999993</v>
      </c>
      <c r="Q22" s="2">
        <v>4891.9500000000007</v>
      </c>
      <c r="R22" s="2">
        <v>29106.7</v>
      </c>
      <c r="S22" s="2">
        <v>2693.95</v>
      </c>
      <c r="T22" s="2">
        <v>53844.701399999991</v>
      </c>
      <c r="U22" s="2">
        <v>17152.101399999992</v>
      </c>
      <c r="V22" s="5">
        <v>0.31854761850346142</v>
      </c>
    </row>
    <row r="23" spans="1:22" x14ac:dyDescent="0.3">
      <c r="A23">
        <f t="shared" si="0"/>
        <v>22</v>
      </c>
      <c r="B23" t="s">
        <v>107</v>
      </c>
      <c r="C23" s="1">
        <v>45954</v>
      </c>
      <c r="D23" t="s">
        <v>20</v>
      </c>
      <c r="E23" s="6" t="s">
        <v>662</v>
      </c>
      <c r="F23" s="6" t="s">
        <v>42</v>
      </c>
      <c r="G23" s="6" t="s">
        <v>39</v>
      </c>
      <c r="H23" t="s">
        <v>27</v>
      </c>
      <c r="I23" s="6" t="s">
        <v>16</v>
      </c>
      <c r="J23" s="6" t="s">
        <v>17</v>
      </c>
      <c r="K23" s="6" t="s">
        <v>33</v>
      </c>
      <c r="L23" s="6" t="s">
        <v>34</v>
      </c>
      <c r="M23" s="12">
        <v>284</v>
      </c>
      <c r="N23" s="2">
        <v>101.5</v>
      </c>
      <c r="O23" s="4">
        <v>0.14169999999999999</v>
      </c>
      <c r="P23" s="2">
        <v>28826</v>
      </c>
      <c r="Q23" s="2">
        <v>2943.5</v>
      </c>
      <c r="R23" s="2">
        <v>13396.6</v>
      </c>
      <c r="S23" s="2">
        <v>1691.9</v>
      </c>
      <c r="T23" s="2">
        <v>24741.355800000001</v>
      </c>
      <c r="U23" s="2">
        <v>6709.3557999999994</v>
      </c>
      <c r="V23" s="5">
        <v>0.27117979524792246</v>
      </c>
    </row>
    <row r="24" spans="1:22" x14ac:dyDescent="0.3">
      <c r="A24">
        <f t="shared" si="0"/>
        <v>23</v>
      </c>
      <c r="B24" t="s">
        <v>108</v>
      </c>
      <c r="C24" s="1">
        <v>45976</v>
      </c>
      <c r="D24" t="s">
        <v>67</v>
      </c>
      <c r="E24" s="6" t="s">
        <v>662</v>
      </c>
      <c r="F24" s="6" t="s">
        <v>66</v>
      </c>
      <c r="G24" s="6" t="s">
        <v>64</v>
      </c>
      <c r="H24" t="s">
        <v>27</v>
      </c>
      <c r="I24" s="6" t="s">
        <v>16</v>
      </c>
      <c r="J24" s="6" t="s">
        <v>24</v>
      </c>
      <c r="K24" s="6" t="s">
        <v>48</v>
      </c>
      <c r="L24" s="6" t="s">
        <v>56</v>
      </c>
      <c r="M24" s="12">
        <v>69</v>
      </c>
      <c r="N24" s="2">
        <v>112.35</v>
      </c>
      <c r="O24" s="4">
        <v>0.15429999999999999</v>
      </c>
      <c r="P24" s="2">
        <v>7752.15</v>
      </c>
      <c r="Q24" s="2">
        <v>1071</v>
      </c>
      <c r="R24" s="2">
        <v>3594.5</v>
      </c>
      <c r="S24" s="2">
        <v>516.25</v>
      </c>
      <c r="T24" s="2">
        <v>6555.9932549999994</v>
      </c>
      <c r="U24" s="2">
        <v>1374.2432549999994</v>
      </c>
      <c r="V24" s="5">
        <v>0.20961633143107916</v>
      </c>
    </row>
    <row r="25" spans="1:22" x14ac:dyDescent="0.3">
      <c r="A25">
        <f t="shared" si="0"/>
        <v>24</v>
      </c>
      <c r="B25" t="s">
        <v>109</v>
      </c>
      <c r="C25" s="1">
        <v>45944</v>
      </c>
      <c r="D25" t="s">
        <v>20</v>
      </c>
      <c r="E25" s="6" t="s">
        <v>663</v>
      </c>
      <c r="F25" s="6" t="s">
        <v>21</v>
      </c>
      <c r="G25" s="6" t="s">
        <v>69</v>
      </c>
      <c r="H25" t="s">
        <v>15</v>
      </c>
      <c r="I25" s="6" t="s">
        <v>23</v>
      </c>
      <c r="J25" s="6" t="s">
        <v>17</v>
      </c>
      <c r="K25" s="6" t="s">
        <v>48</v>
      </c>
      <c r="L25" s="6" t="s">
        <v>74</v>
      </c>
      <c r="M25" s="12">
        <v>87</v>
      </c>
      <c r="N25" s="2">
        <v>155.75</v>
      </c>
      <c r="O25" s="4">
        <v>7.5300000000000006E-2</v>
      </c>
      <c r="P25" s="2">
        <v>13550.25</v>
      </c>
      <c r="Q25" s="2">
        <v>2161.25</v>
      </c>
      <c r="R25" s="2">
        <v>8365.35</v>
      </c>
      <c r="S25" s="2">
        <v>1284.5</v>
      </c>
      <c r="T25" s="2">
        <v>12529.916175</v>
      </c>
      <c r="U25" s="2">
        <v>718.81617499999993</v>
      </c>
      <c r="V25" s="5">
        <v>5.7367995520528688E-2</v>
      </c>
    </row>
    <row r="26" spans="1:22" x14ac:dyDescent="0.3">
      <c r="A26">
        <f t="shared" si="0"/>
        <v>25</v>
      </c>
      <c r="B26" t="s">
        <v>110</v>
      </c>
      <c r="C26" s="1">
        <v>45768</v>
      </c>
      <c r="D26" t="s">
        <v>61</v>
      </c>
      <c r="E26" s="6" t="s">
        <v>662</v>
      </c>
      <c r="F26" s="6" t="s">
        <v>42</v>
      </c>
      <c r="G26" s="6" t="s">
        <v>64</v>
      </c>
      <c r="H26" t="s">
        <v>15</v>
      </c>
      <c r="I26" s="6" t="s">
        <v>28</v>
      </c>
      <c r="J26" s="6" t="s">
        <v>52</v>
      </c>
      <c r="K26" s="6" t="s">
        <v>33</v>
      </c>
      <c r="L26" s="6" t="s">
        <v>34</v>
      </c>
      <c r="M26" s="12">
        <v>168</v>
      </c>
      <c r="N26" s="2">
        <v>109.55</v>
      </c>
      <c r="O26" s="4">
        <v>0.19899999999999998</v>
      </c>
      <c r="P26" s="2">
        <v>18404.399999999998</v>
      </c>
      <c r="Q26" s="2">
        <v>1620.1499999999999</v>
      </c>
      <c r="R26" s="2">
        <v>9063.9500000000007</v>
      </c>
      <c r="S26" s="2">
        <v>883.4</v>
      </c>
      <c r="T26" s="2">
        <v>14741.9244</v>
      </c>
      <c r="U26" s="2">
        <v>3174.4243999999999</v>
      </c>
      <c r="V26" s="5">
        <v>0.21533310807101955</v>
      </c>
    </row>
    <row r="27" spans="1:22" x14ac:dyDescent="0.3">
      <c r="A27">
        <f t="shared" si="0"/>
        <v>26</v>
      </c>
      <c r="B27" t="s">
        <v>111</v>
      </c>
      <c r="C27" s="1">
        <v>45916</v>
      </c>
      <c r="D27" t="s">
        <v>14</v>
      </c>
      <c r="E27" s="6" t="s">
        <v>662</v>
      </c>
      <c r="F27" s="6" t="s">
        <v>42</v>
      </c>
      <c r="G27" s="6" t="s">
        <v>22</v>
      </c>
      <c r="H27" t="s">
        <v>27</v>
      </c>
      <c r="I27" s="6" t="s">
        <v>28</v>
      </c>
      <c r="J27" s="6" t="s">
        <v>32</v>
      </c>
      <c r="K27" s="6" t="s">
        <v>46</v>
      </c>
      <c r="L27" s="6" t="s">
        <v>81</v>
      </c>
      <c r="M27" s="12">
        <v>193</v>
      </c>
      <c r="N27" s="2">
        <v>142.45000000000002</v>
      </c>
      <c r="O27" s="4">
        <v>0.1103</v>
      </c>
      <c r="P27" s="2">
        <v>27492.850000000002</v>
      </c>
      <c r="Q27" s="2">
        <v>1323.7</v>
      </c>
      <c r="R27" s="2">
        <v>13810.3</v>
      </c>
      <c r="S27" s="2">
        <v>1524.6000000000001</v>
      </c>
      <c r="T27" s="2">
        <v>24460.388645000003</v>
      </c>
      <c r="U27" s="2">
        <v>7801.7886450000051</v>
      </c>
      <c r="V27" s="5">
        <v>0.31895603778948067</v>
      </c>
    </row>
    <row r="28" spans="1:22" x14ac:dyDescent="0.3">
      <c r="A28">
        <f t="shared" si="0"/>
        <v>27</v>
      </c>
      <c r="B28" t="s">
        <v>112</v>
      </c>
      <c r="C28" s="1">
        <v>45976</v>
      </c>
      <c r="D28" t="s">
        <v>67</v>
      </c>
      <c r="E28" s="6" t="s">
        <v>662</v>
      </c>
      <c r="F28" s="6" t="s">
        <v>66</v>
      </c>
      <c r="G28" s="6" t="s">
        <v>65</v>
      </c>
      <c r="H28" t="s">
        <v>15</v>
      </c>
      <c r="I28" s="6" t="s">
        <v>16</v>
      </c>
      <c r="J28" s="6" t="s">
        <v>17</v>
      </c>
      <c r="K28" s="6" t="s">
        <v>18</v>
      </c>
      <c r="L28" s="6" t="s">
        <v>71</v>
      </c>
      <c r="M28" s="12">
        <v>50</v>
      </c>
      <c r="N28" s="2">
        <v>89.600000000000009</v>
      </c>
      <c r="O28" s="4">
        <v>0.1358</v>
      </c>
      <c r="P28" s="2">
        <v>4480</v>
      </c>
      <c r="Q28" s="2">
        <v>421.4</v>
      </c>
      <c r="R28" s="2">
        <v>1889.65</v>
      </c>
      <c r="S28" s="2">
        <v>270.90000000000003</v>
      </c>
      <c r="T28" s="2">
        <v>3871.616</v>
      </c>
      <c r="U28" s="2">
        <v>1289.6659999999997</v>
      </c>
      <c r="V28" s="5">
        <v>0.33310793219162221</v>
      </c>
    </row>
    <row r="29" spans="1:22" x14ac:dyDescent="0.3">
      <c r="A29">
        <f t="shared" si="0"/>
        <v>28</v>
      </c>
      <c r="B29" t="s">
        <v>113</v>
      </c>
      <c r="C29" s="1">
        <v>45881</v>
      </c>
      <c r="D29" t="s">
        <v>35</v>
      </c>
      <c r="E29" s="6" t="s">
        <v>664</v>
      </c>
      <c r="F29" s="6" t="s">
        <v>63</v>
      </c>
      <c r="G29" s="6" t="s">
        <v>82</v>
      </c>
      <c r="H29" t="s">
        <v>27</v>
      </c>
      <c r="I29" s="6" t="s">
        <v>16</v>
      </c>
      <c r="J29" s="6" t="s">
        <v>52</v>
      </c>
      <c r="K29" s="6" t="s">
        <v>46</v>
      </c>
      <c r="L29" s="6" t="s">
        <v>89</v>
      </c>
      <c r="M29" s="12">
        <v>97</v>
      </c>
      <c r="N29" s="2">
        <v>99.399999999999991</v>
      </c>
      <c r="O29" s="4">
        <v>0.1893</v>
      </c>
      <c r="P29" s="2">
        <v>9641.7999999999993</v>
      </c>
      <c r="Q29" s="2">
        <v>1449</v>
      </c>
      <c r="R29" s="2">
        <v>4256.7</v>
      </c>
      <c r="S29" s="2">
        <v>572.95000000000005</v>
      </c>
      <c r="T29" s="2">
        <v>7816.6072599999989</v>
      </c>
      <c r="U29" s="2">
        <v>1537.9572599999992</v>
      </c>
      <c r="V29" s="5">
        <v>0.19675508936852987</v>
      </c>
    </row>
    <row r="30" spans="1:22" x14ac:dyDescent="0.3">
      <c r="A30">
        <f t="shared" si="0"/>
        <v>29</v>
      </c>
      <c r="B30" t="s">
        <v>114</v>
      </c>
      <c r="C30" s="1">
        <v>45874</v>
      </c>
      <c r="D30" t="s">
        <v>35</v>
      </c>
      <c r="E30" s="6" t="s">
        <v>662</v>
      </c>
      <c r="F30" s="6" t="s">
        <v>66</v>
      </c>
      <c r="G30" s="6" t="s">
        <v>68</v>
      </c>
      <c r="H30" t="s">
        <v>15</v>
      </c>
      <c r="I30" s="6" t="s">
        <v>23</v>
      </c>
      <c r="J30" s="6" t="s">
        <v>32</v>
      </c>
      <c r="K30" s="6" t="s">
        <v>18</v>
      </c>
      <c r="L30" s="6" t="s">
        <v>71</v>
      </c>
      <c r="M30" s="12">
        <v>24</v>
      </c>
      <c r="N30" s="2">
        <v>102.2</v>
      </c>
      <c r="O30" s="4">
        <v>6.5599999999999992E-2</v>
      </c>
      <c r="P30" s="2">
        <v>2452.8000000000002</v>
      </c>
      <c r="Q30" s="2">
        <v>281.75</v>
      </c>
      <c r="R30" s="2">
        <v>1142.4000000000001</v>
      </c>
      <c r="S30" s="2">
        <v>202.65</v>
      </c>
      <c r="T30" s="2">
        <v>2291.8963200000003</v>
      </c>
      <c r="U30" s="2">
        <v>665.09632000000011</v>
      </c>
      <c r="V30" s="5">
        <v>0.29019476762369428</v>
      </c>
    </row>
    <row r="31" spans="1:22" x14ac:dyDescent="0.3">
      <c r="A31">
        <f t="shared" si="0"/>
        <v>30</v>
      </c>
      <c r="B31" t="s">
        <v>115</v>
      </c>
      <c r="C31" s="1">
        <v>45876</v>
      </c>
      <c r="D31" t="s">
        <v>35</v>
      </c>
      <c r="E31" s="6" t="s">
        <v>662</v>
      </c>
      <c r="F31" s="6" t="s">
        <v>66</v>
      </c>
      <c r="G31" s="6" t="s">
        <v>43</v>
      </c>
      <c r="H31" t="s">
        <v>15</v>
      </c>
      <c r="I31" s="6" t="s">
        <v>23</v>
      </c>
      <c r="J31" s="6" t="s">
        <v>32</v>
      </c>
      <c r="K31" s="6" t="s">
        <v>37</v>
      </c>
      <c r="L31" s="6" t="s">
        <v>75</v>
      </c>
      <c r="M31" s="12">
        <v>41</v>
      </c>
      <c r="N31" s="2">
        <v>142.1</v>
      </c>
      <c r="O31" s="4">
        <v>2.7999999999999997E-2</v>
      </c>
      <c r="P31" s="2">
        <v>5826.0999999999995</v>
      </c>
      <c r="Q31" s="2">
        <v>767.55</v>
      </c>
      <c r="R31" s="2">
        <v>2940.3500000000004</v>
      </c>
      <c r="S31" s="2">
        <v>506.8</v>
      </c>
      <c r="T31" s="2">
        <v>5662.9691999999995</v>
      </c>
      <c r="U31" s="2">
        <v>1448.269199999999</v>
      </c>
      <c r="V31" s="5">
        <v>0.25574378896498312</v>
      </c>
    </row>
    <row r="32" spans="1:22" x14ac:dyDescent="0.3">
      <c r="A32">
        <f t="shared" si="0"/>
        <v>31</v>
      </c>
      <c r="B32" t="s">
        <v>116</v>
      </c>
      <c r="C32" s="1">
        <v>45954</v>
      </c>
      <c r="D32" t="s">
        <v>20</v>
      </c>
      <c r="E32" s="6" t="s">
        <v>663</v>
      </c>
      <c r="F32" s="6" t="s">
        <v>21</v>
      </c>
      <c r="G32" s="6" t="s">
        <v>65</v>
      </c>
      <c r="H32" t="s">
        <v>27</v>
      </c>
      <c r="I32" s="6" t="s">
        <v>16</v>
      </c>
      <c r="J32" s="6" t="s">
        <v>17</v>
      </c>
      <c r="K32" s="6" t="s">
        <v>18</v>
      </c>
      <c r="L32" s="6" t="s">
        <v>80</v>
      </c>
      <c r="M32" s="12">
        <v>95</v>
      </c>
      <c r="N32" s="2">
        <v>80.850000000000009</v>
      </c>
      <c r="O32" s="4">
        <v>0.13339999999999999</v>
      </c>
      <c r="P32" s="2">
        <v>7680.7500000000009</v>
      </c>
      <c r="Q32" s="2">
        <v>761.94999999999993</v>
      </c>
      <c r="R32" s="2">
        <v>3236.1</v>
      </c>
      <c r="S32" s="2">
        <v>500.5</v>
      </c>
      <c r="T32" s="2">
        <v>6656.1379500000012</v>
      </c>
      <c r="U32" s="2">
        <v>2157.5879500000015</v>
      </c>
      <c r="V32" s="5">
        <v>0.32415012522389219</v>
      </c>
    </row>
    <row r="33" spans="1:22" x14ac:dyDescent="0.3">
      <c r="A33">
        <f t="shared" si="0"/>
        <v>32</v>
      </c>
      <c r="B33" t="s">
        <v>117</v>
      </c>
      <c r="C33" s="1">
        <v>45766</v>
      </c>
      <c r="D33" t="s">
        <v>61</v>
      </c>
      <c r="E33" s="6" t="s">
        <v>662</v>
      </c>
      <c r="F33" s="6" t="s">
        <v>66</v>
      </c>
      <c r="G33" s="6" t="s">
        <v>82</v>
      </c>
      <c r="H33" t="s">
        <v>27</v>
      </c>
      <c r="I33" s="6" t="s">
        <v>16</v>
      </c>
      <c r="J33" s="6" t="s">
        <v>24</v>
      </c>
      <c r="K33" s="6" t="s">
        <v>37</v>
      </c>
      <c r="L33" s="6" t="s">
        <v>90</v>
      </c>
      <c r="M33" s="12">
        <v>190</v>
      </c>
      <c r="N33" s="2">
        <v>145.25</v>
      </c>
      <c r="O33" s="4">
        <v>0.18460000000000001</v>
      </c>
      <c r="P33" s="2">
        <v>27597.5</v>
      </c>
      <c r="Q33" s="2">
        <v>3220</v>
      </c>
      <c r="R33" s="2">
        <v>12139.4</v>
      </c>
      <c r="S33" s="2">
        <v>1508.15</v>
      </c>
      <c r="T33" s="2">
        <v>22503.001500000002</v>
      </c>
      <c r="U33" s="2">
        <v>5635.451500000001</v>
      </c>
      <c r="V33" s="5">
        <v>0.25043110360189064</v>
      </c>
    </row>
    <row r="34" spans="1:22" x14ac:dyDescent="0.3">
      <c r="A34">
        <f t="shared" si="0"/>
        <v>33</v>
      </c>
      <c r="B34" t="s">
        <v>118</v>
      </c>
      <c r="C34" s="1">
        <v>45874</v>
      </c>
      <c r="D34" t="s">
        <v>35</v>
      </c>
      <c r="E34" s="6" t="s">
        <v>663</v>
      </c>
      <c r="F34" s="6" t="s">
        <v>21</v>
      </c>
      <c r="G34" s="6" t="s">
        <v>68</v>
      </c>
      <c r="H34" t="s">
        <v>27</v>
      </c>
      <c r="I34" s="6" t="s">
        <v>31</v>
      </c>
      <c r="J34" s="6" t="s">
        <v>32</v>
      </c>
      <c r="K34" s="6" t="s">
        <v>33</v>
      </c>
      <c r="L34" s="6" t="s">
        <v>73</v>
      </c>
      <c r="M34" s="12">
        <v>340</v>
      </c>
      <c r="N34" s="2">
        <v>140</v>
      </c>
      <c r="O34" s="4">
        <v>0.1038</v>
      </c>
      <c r="P34" s="2">
        <v>47600</v>
      </c>
      <c r="Q34" s="2">
        <v>2108.0499999999997</v>
      </c>
      <c r="R34" s="2">
        <v>23984.1</v>
      </c>
      <c r="S34" s="2">
        <v>1881.95</v>
      </c>
      <c r="T34" s="2">
        <v>42659.12</v>
      </c>
      <c r="U34" s="2">
        <v>14685.020000000008</v>
      </c>
      <c r="V34" s="5">
        <v>0.34424104388463728</v>
      </c>
    </row>
    <row r="35" spans="1:22" x14ac:dyDescent="0.3">
      <c r="A35">
        <f t="shared" si="0"/>
        <v>34</v>
      </c>
      <c r="B35" t="s">
        <v>119</v>
      </c>
      <c r="C35" s="1">
        <v>45966</v>
      </c>
      <c r="D35" t="s">
        <v>67</v>
      </c>
      <c r="E35" s="6" t="s">
        <v>664</v>
      </c>
      <c r="F35" s="6" t="s">
        <v>63</v>
      </c>
      <c r="G35" s="6" t="s">
        <v>43</v>
      </c>
      <c r="H35" t="s">
        <v>27</v>
      </c>
      <c r="I35" s="6" t="s">
        <v>31</v>
      </c>
      <c r="J35" s="6" t="s">
        <v>24</v>
      </c>
      <c r="K35" s="6" t="s">
        <v>48</v>
      </c>
      <c r="L35" s="6" t="s">
        <v>49</v>
      </c>
      <c r="M35" s="12">
        <v>207</v>
      </c>
      <c r="N35" s="2">
        <v>105.7</v>
      </c>
      <c r="O35" s="4">
        <v>0.222</v>
      </c>
      <c r="P35" s="2">
        <v>21879.9</v>
      </c>
      <c r="Q35" s="2">
        <v>1749.65</v>
      </c>
      <c r="R35" s="2">
        <v>9737.3499999999985</v>
      </c>
      <c r="S35" s="2">
        <v>967.75</v>
      </c>
      <c r="T35" s="2">
        <v>17022.5622</v>
      </c>
      <c r="U35" s="2">
        <v>4567.8122000000021</v>
      </c>
      <c r="V35" s="5">
        <v>0.26833869932929383</v>
      </c>
    </row>
    <row r="36" spans="1:22" x14ac:dyDescent="0.3">
      <c r="A36">
        <f t="shared" si="0"/>
        <v>35</v>
      </c>
      <c r="B36" t="s">
        <v>120</v>
      </c>
      <c r="C36" s="1">
        <v>45680</v>
      </c>
      <c r="D36" t="s">
        <v>44</v>
      </c>
      <c r="E36" s="6" t="s">
        <v>662</v>
      </c>
      <c r="F36" s="6" t="s">
        <v>42</v>
      </c>
      <c r="G36" s="6" t="s">
        <v>22</v>
      </c>
      <c r="H36" t="s">
        <v>15</v>
      </c>
      <c r="I36" s="6" t="s">
        <v>23</v>
      </c>
      <c r="J36" s="6" t="s">
        <v>36</v>
      </c>
      <c r="K36" s="6" t="s">
        <v>46</v>
      </c>
      <c r="L36" s="6" t="s">
        <v>83</v>
      </c>
      <c r="M36" s="12">
        <v>28</v>
      </c>
      <c r="N36" s="2">
        <v>131.25</v>
      </c>
      <c r="O36" s="4">
        <v>5.2900000000000003E-2</v>
      </c>
      <c r="P36" s="2">
        <v>3675</v>
      </c>
      <c r="Q36" s="2">
        <v>417.55</v>
      </c>
      <c r="R36" s="2">
        <v>2062.9</v>
      </c>
      <c r="S36" s="2">
        <v>351.75</v>
      </c>
      <c r="T36" s="2">
        <v>3480.5925000000002</v>
      </c>
      <c r="U36" s="2">
        <v>648.39250000000015</v>
      </c>
      <c r="V36" s="5">
        <v>0.1862879667757717</v>
      </c>
    </row>
    <row r="37" spans="1:22" x14ac:dyDescent="0.3">
      <c r="A37">
        <f t="shared" si="0"/>
        <v>36</v>
      </c>
      <c r="B37" t="s">
        <v>121</v>
      </c>
      <c r="C37" s="1">
        <v>45920</v>
      </c>
      <c r="D37" t="s">
        <v>14</v>
      </c>
      <c r="E37" s="6" t="s">
        <v>664</v>
      </c>
      <c r="F37" s="6" t="s">
        <v>63</v>
      </c>
      <c r="G37" s="6" t="s">
        <v>69</v>
      </c>
      <c r="H37" t="s">
        <v>27</v>
      </c>
      <c r="I37" s="6" t="s">
        <v>31</v>
      </c>
      <c r="J37" s="6" t="s">
        <v>52</v>
      </c>
      <c r="K37" s="6" t="s">
        <v>46</v>
      </c>
      <c r="L37" s="6" t="s">
        <v>76</v>
      </c>
      <c r="M37" s="12">
        <v>532</v>
      </c>
      <c r="N37" s="2">
        <v>282.10000000000002</v>
      </c>
      <c r="O37" s="4">
        <v>0.25840000000000002</v>
      </c>
      <c r="P37" s="2">
        <v>150077.20000000001</v>
      </c>
      <c r="Q37" s="2">
        <v>10554.6</v>
      </c>
      <c r="R37" s="2">
        <v>59656.1</v>
      </c>
      <c r="S37" s="2">
        <v>5601.75</v>
      </c>
      <c r="T37" s="2">
        <v>111297.25152000002</v>
      </c>
      <c r="U37" s="2">
        <v>35484.801520000023</v>
      </c>
      <c r="V37" s="5">
        <v>0.31882909088391492</v>
      </c>
    </row>
    <row r="38" spans="1:22" x14ac:dyDescent="0.3">
      <c r="A38">
        <f t="shared" si="0"/>
        <v>37</v>
      </c>
      <c r="B38" t="s">
        <v>122</v>
      </c>
      <c r="C38" s="1">
        <v>45969</v>
      </c>
      <c r="D38" t="s">
        <v>67</v>
      </c>
      <c r="E38" s="6" t="s">
        <v>662</v>
      </c>
      <c r="F38" s="6" t="s">
        <v>42</v>
      </c>
      <c r="G38" s="6" t="s">
        <v>39</v>
      </c>
      <c r="H38" t="s">
        <v>27</v>
      </c>
      <c r="I38" s="6" t="s">
        <v>16</v>
      </c>
      <c r="J38" s="6" t="s">
        <v>24</v>
      </c>
      <c r="K38" s="6" t="s">
        <v>48</v>
      </c>
      <c r="L38" s="6" t="s">
        <v>74</v>
      </c>
      <c r="M38" s="12">
        <v>116</v>
      </c>
      <c r="N38" s="2">
        <v>165.2</v>
      </c>
      <c r="O38" s="4">
        <v>0.1386</v>
      </c>
      <c r="P38" s="2">
        <v>19163.199999999997</v>
      </c>
      <c r="Q38" s="2">
        <v>2581.25</v>
      </c>
      <c r="R38" s="2">
        <v>11681.25</v>
      </c>
      <c r="S38" s="2">
        <v>1479.45</v>
      </c>
      <c r="T38" s="2">
        <v>16507.180479999995</v>
      </c>
      <c r="U38" s="2">
        <v>765.23047999999471</v>
      </c>
      <c r="V38" s="5">
        <v>4.635743099356935E-2</v>
      </c>
    </row>
    <row r="39" spans="1:22" x14ac:dyDescent="0.3">
      <c r="A39">
        <f t="shared" si="0"/>
        <v>38</v>
      </c>
      <c r="B39" t="s">
        <v>123</v>
      </c>
      <c r="C39" s="1">
        <v>45686</v>
      </c>
      <c r="D39" t="s">
        <v>44</v>
      </c>
      <c r="E39" s="6" t="s">
        <v>662</v>
      </c>
      <c r="F39" s="6" t="s">
        <v>42</v>
      </c>
      <c r="G39" s="6" t="s">
        <v>65</v>
      </c>
      <c r="H39" t="s">
        <v>15</v>
      </c>
      <c r="I39" s="6" t="s">
        <v>16</v>
      </c>
      <c r="J39" s="6" t="s">
        <v>52</v>
      </c>
      <c r="K39" s="6" t="s">
        <v>46</v>
      </c>
      <c r="L39" s="6" t="s">
        <v>47</v>
      </c>
      <c r="M39" s="12">
        <v>27</v>
      </c>
      <c r="N39" s="2">
        <v>162.39999999999998</v>
      </c>
      <c r="O39" s="4">
        <v>0.17180000000000001</v>
      </c>
      <c r="P39" s="2">
        <v>4384.7999999999993</v>
      </c>
      <c r="Q39" s="2">
        <v>481.95</v>
      </c>
      <c r="R39" s="2">
        <v>2028.95</v>
      </c>
      <c r="S39" s="2">
        <v>308</v>
      </c>
      <c r="T39" s="2">
        <v>3631.4913599999995</v>
      </c>
      <c r="U39" s="2">
        <v>812.59135999999944</v>
      </c>
      <c r="V39" s="5">
        <v>0.22376243792027073</v>
      </c>
    </row>
    <row r="40" spans="1:22" x14ac:dyDescent="0.3">
      <c r="A40">
        <f t="shared" si="0"/>
        <v>39</v>
      </c>
      <c r="B40" t="s">
        <v>124</v>
      </c>
      <c r="C40" s="1">
        <v>45975</v>
      </c>
      <c r="D40" t="s">
        <v>67</v>
      </c>
      <c r="E40" s="6" t="s">
        <v>663</v>
      </c>
      <c r="F40" s="6" t="s">
        <v>21</v>
      </c>
      <c r="G40" s="6" t="s">
        <v>22</v>
      </c>
      <c r="H40" t="s">
        <v>15</v>
      </c>
      <c r="I40" s="6" t="s">
        <v>23</v>
      </c>
      <c r="J40" s="6" t="s">
        <v>24</v>
      </c>
      <c r="K40" s="6" t="s">
        <v>48</v>
      </c>
      <c r="L40" s="6" t="s">
        <v>56</v>
      </c>
      <c r="M40" s="12">
        <v>43</v>
      </c>
      <c r="N40" s="2">
        <v>117.6</v>
      </c>
      <c r="O40" s="4">
        <v>0.129</v>
      </c>
      <c r="P40" s="2">
        <v>5056.8</v>
      </c>
      <c r="Q40" s="2">
        <v>829.15000000000009</v>
      </c>
      <c r="R40" s="2">
        <v>2714.95</v>
      </c>
      <c r="S40" s="2">
        <v>490.7</v>
      </c>
      <c r="T40" s="2">
        <v>4404.4728000000005</v>
      </c>
      <c r="U40" s="2">
        <v>369.67280000000073</v>
      </c>
      <c r="V40" s="5">
        <v>8.3931225548719637E-2</v>
      </c>
    </row>
    <row r="41" spans="1:22" x14ac:dyDescent="0.3">
      <c r="A41">
        <f t="shared" si="0"/>
        <v>40</v>
      </c>
      <c r="B41" t="s">
        <v>125</v>
      </c>
      <c r="C41" s="1">
        <v>45706</v>
      </c>
      <c r="D41" t="s">
        <v>55</v>
      </c>
      <c r="E41" s="6" t="s">
        <v>662</v>
      </c>
      <c r="F41" s="6" t="s">
        <v>42</v>
      </c>
      <c r="G41" s="6" t="s">
        <v>69</v>
      </c>
      <c r="H41" t="s">
        <v>15</v>
      </c>
      <c r="I41" s="6" t="s">
        <v>16</v>
      </c>
      <c r="J41" s="6" t="s">
        <v>84</v>
      </c>
      <c r="K41" s="6" t="s">
        <v>46</v>
      </c>
      <c r="L41" s="6" t="s">
        <v>81</v>
      </c>
      <c r="M41" s="12">
        <v>96</v>
      </c>
      <c r="N41" s="2">
        <v>143.15</v>
      </c>
      <c r="O41" s="4">
        <v>0.14910000000000001</v>
      </c>
      <c r="P41" s="2">
        <v>13742.400000000001</v>
      </c>
      <c r="Q41" s="2">
        <v>2061.85</v>
      </c>
      <c r="R41" s="2">
        <v>6505.45</v>
      </c>
      <c r="S41" s="2">
        <v>1034.5999999999999</v>
      </c>
      <c r="T41" s="2">
        <v>11693.408160000001</v>
      </c>
      <c r="U41" s="2">
        <v>2091.5081600000008</v>
      </c>
      <c r="V41" s="5">
        <v>0.1788621530508519</v>
      </c>
    </row>
    <row r="42" spans="1:22" x14ac:dyDescent="0.3">
      <c r="A42">
        <f t="shared" si="0"/>
        <v>41</v>
      </c>
      <c r="B42" t="s">
        <v>126</v>
      </c>
      <c r="C42" s="1">
        <v>45764</v>
      </c>
      <c r="D42" t="s">
        <v>61</v>
      </c>
      <c r="E42" s="6" t="s">
        <v>662</v>
      </c>
      <c r="F42" s="6" t="s">
        <v>42</v>
      </c>
      <c r="G42" s="6" t="s">
        <v>82</v>
      </c>
      <c r="H42" t="s">
        <v>15</v>
      </c>
      <c r="I42" s="6" t="s">
        <v>23</v>
      </c>
      <c r="J42" s="6" t="s">
        <v>32</v>
      </c>
      <c r="K42" s="6" t="s">
        <v>33</v>
      </c>
      <c r="L42" s="6" t="s">
        <v>73</v>
      </c>
      <c r="M42" s="12">
        <v>32</v>
      </c>
      <c r="N42" s="2">
        <v>147.35</v>
      </c>
      <c r="O42" s="4">
        <v>2.8999999999999998E-2</v>
      </c>
      <c r="P42" s="2">
        <v>4715.2</v>
      </c>
      <c r="Q42" s="2">
        <v>724.85</v>
      </c>
      <c r="R42" s="2">
        <v>2545.1999999999998</v>
      </c>
      <c r="S42" s="2">
        <v>456.04999999999995</v>
      </c>
      <c r="T42" s="2">
        <v>4578.4591999999993</v>
      </c>
      <c r="U42" s="2">
        <v>852.3591999999993</v>
      </c>
      <c r="V42" s="5">
        <v>0.18616725906392251</v>
      </c>
    </row>
    <row r="43" spans="1:22" x14ac:dyDescent="0.3">
      <c r="A43">
        <f t="shared" si="0"/>
        <v>42</v>
      </c>
      <c r="B43" t="s">
        <v>127</v>
      </c>
      <c r="C43" s="1">
        <v>45792</v>
      </c>
      <c r="D43" t="s">
        <v>30</v>
      </c>
      <c r="E43" s="6" t="s">
        <v>664</v>
      </c>
      <c r="F43" s="6" t="s">
        <v>63</v>
      </c>
      <c r="G43" s="6" t="s">
        <v>64</v>
      </c>
      <c r="H43" t="s">
        <v>27</v>
      </c>
      <c r="I43" s="6" t="s">
        <v>28</v>
      </c>
      <c r="J43" s="6" t="s">
        <v>32</v>
      </c>
      <c r="K43" s="6" t="s">
        <v>18</v>
      </c>
      <c r="L43" s="6" t="s">
        <v>59</v>
      </c>
      <c r="M43" s="12">
        <v>343</v>
      </c>
      <c r="N43" s="2">
        <v>218.75</v>
      </c>
      <c r="O43" s="4">
        <v>0.15890000000000001</v>
      </c>
      <c r="P43" s="2">
        <v>75031.25</v>
      </c>
      <c r="Q43" s="2">
        <v>3132.8500000000004</v>
      </c>
      <c r="R43" s="2">
        <v>34826.049999999996</v>
      </c>
      <c r="S43" s="2">
        <v>3313.8</v>
      </c>
      <c r="T43" s="2">
        <v>63108.784374999996</v>
      </c>
      <c r="U43" s="2">
        <v>21836.084374999999</v>
      </c>
      <c r="V43" s="5">
        <v>0.34600705101919499</v>
      </c>
    </row>
    <row r="44" spans="1:22" x14ac:dyDescent="0.3">
      <c r="A44">
        <f t="shared" si="0"/>
        <v>43</v>
      </c>
      <c r="B44" t="s">
        <v>128</v>
      </c>
      <c r="C44" s="1">
        <v>45961</v>
      </c>
      <c r="D44" t="s">
        <v>20</v>
      </c>
      <c r="E44" s="6" t="s">
        <v>663</v>
      </c>
      <c r="F44" s="6" t="s">
        <v>21</v>
      </c>
      <c r="G44" s="6" t="s">
        <v>82</v>
      </c>
      <c r="H44" t="s">
        <v>15</v>
      </c>
      <c r="I44" s="6" t="s">
        <v>28</v>
      </c>
      <c r="J44" s="6" t="s">
        <v>17</v>
      </c>
      <c r="K44" s="6" t="s">
        <v>48</v>
      </c>
      <c r="L44" s="6" t="s">
        <v>57</v>
      </c>
      <c r="M44" s="12">
        <v>276</v>
      </c>
      <c r="N44" s="2">
        <v>82.6</v>
      </c>
      <c r="O44" s="4">
        <v>0.1106</v>
      </c>
      <c r="P44" s="2">
        <v>22797.599999999999</v>
      </c>
      <c r="Q44" s="2">
        <v>2301.6000000000004</v>
      </c>
      <c r="R44" s="2">
        <v>15445.150000000001</v>
      </c>
      <c r="S44" s="2">
        <v>1502.55</v>
      </c>
      <c r="T44" s="2">
        <v>20276.185439999997</v>
      </c>
      <c r="U44" s="2">
        <v>1026.8854399999964</v>
      </c>
      <c r="V44" s="5">
        <v>5.0644902762341105E-2</v>
      </c>
    </row>
    <row r="45" spans="1:22" x14ac:dyDescent="0.3">
      <c r="A45">
        <f t="shared" si="0"/>
        <v>44</v>
      </c>
      <c r="B45" t="s">
        <v>129</v>
      </c>
      <c r="C45" s="1">
        <v>45992</v>
      </c>
      <c r="D45" t="s">
        <v>50</v>
      </c>
      <c r="E45" s="6" t="s">
        <v>662</v>
      </c>
      <c r="F45" s="6" t="s">
        <v>66</v>
      </c>
      <c r="G45" s="6" t="s">
        <v>82</v>
      </c>
      <c r="H45" t="s">
        <v>15</v>
      </c>
      <c r="I45" s="6" t="s">
        <v>23</v>
      </c>
      <c r="J45" s="6" t="s">
        <v>32</v>
      </c>
      <c r="K45" s="6" t="s">
        <v>33</v>
      </c>
      <c r="L45" s="6" t="s">
        <v>34</v>
      </c>
      <c r="M45" s="12">
        <v>94</v>
      </c>
      <c r="N45" s="2">
        <v>103.6</v>
      </c>
      <c r="O45" s="4">
        <v>7.2499999999999995E-2</v>
      </c>
      <c r="P45" s="2">
        <v>9738.4</v>
      </c>
      <c r="Q45" s="2">
        <v>2984.8</v>
      </c>
      <c r="R45" s="2">
        <v>4946.2</v>
      </c>
      <c r="S45" s="2">
        <v>875.69999999999993</v>
      </c>
      <c r="T45" s="2">
        <v>9032.366</v>
      </c>
      <c r="U45" s="2">
        <v>225.66600000000017</v>
      </c>
      <c r="V45" s="5">
        <v>2.4984151439390319E-2</v>
      </c>
    </row>
    <row r="46" spans="1:22" x14ac:dyDescent="0.3">
      <c r="A46">
        <f t="shared" si="0"/>
        <v>45</v>
      </c>
      <c r="B46" t="s">
        <v>130</v>
      </c>
      <c r="C46" s="1">
        <v>45908</v>
      </c>
      <c r="D46" t="s">
        <v>14</v>
      </c>
      <c r="E46" s="6" t="s">
        <v>664</v>
      </c>
      <c r="F46" s="6" t="s">
        <v>63</v>
      </c>
      <c r="G46" s="6" t="s">
        <v>82</v>
      </c>
      <c r="H46" t="s">
        <v>15</v>
      </c>
      <c r="I46" s="6" t="s">
        <v>23</v>
      </c>
      <c r="J46" s="6" t="s">
        <v>24</v>
      </c>
      <c r="K46" s="6" t="s">
        <v>37</v>
      </c>
      <c r="L46" s="6" t="s">
        <v>75</v>
      </c>
      <c r="M46" s="12">
        <v>39</v>
      </c>
      <c r="N46" s="2">
        <v>132.29999999999998</v>
      </c>
      <c r="O46" s="4">
        <v>7.4499999999999997E-2</v>
      </c>
      <c r="P46" s="2">
        <v>5159.6999999999989</v>
      </c>
      <c r="Q46" s="2">
        <v>837.55</v>
      </c>
      <c r="R46" s="2">
        <v>2605.75</v>
      </c>
      <c r="S46" s="2">
        <v>523.6</v>
      </c>
      <c r="T46" s="2">
        <v>4775.302349999999</v>
      </c>
      <c r="U46" s="2">
        <v>808.40234999999871</v>
      </c>
      <c r="V46" s="5">
        <v>0.16928820224336139</v>
      </c>
    </row>
    <row r="47" spans="1:22" x14ac:dyDescent="0.3">
      <c r="A47">
        <f t="shared" si="0"/>
        <v>46</v>
      </c>
      <c r="B47" t="s">
        <v>131</v>
      </c>
      <c r="C47" s="1">
        <v>46006</v>
      </c>
      <c r="D47" t="s">
        <v>50</v>
      </c>
      <c r="E47" s="6" t="s">
        <v>662</v>
      </c>
      <c r="F47" s="6" t="s">
        <v>66</v>
      </c>
      <c r="G47" s="6" t="s">
        <v>69</v>
      </c>
      <c r="H47" t="s">
        <v>15</v>
      </c>
      <c r="I47" s="6" t="s">
        <v>23</v>
      </c>
      <c r="J47" s="6" t="s">
        <v>17</v>
      </c>
      <c r="K47" s="6" t="s">
        <v>37</v>
      </c>
      <c r="L47" s="6" t="s">
        <v>60</v>
      </c>
      <c r="M47" s="12">
        <v>103</v>
      </c>
      <c r="N47" s="2">
        <v>158.19999999999999</v>
      </c>
      <c r="O47" s="4">
        <v>9.1899999999999996E-2</v>
      </c>
      <c r="P47" s="2">
        <v>16294.599999999999</v>
      </c>
      <c r="Q47" s="2">
        <v>2916.5499999999997</v>
      </c>
      <c r="R47" s="2">
        <v>9152.5</v>
      </c>
      <c r="S47" s="2">
        <v>1545.25</v>
      </c>
      <c r="T47" s="2">
        <v>14797.126259999999</v>
      </c>
      <c r="U47" s="2">
        <v>1182.8262599999994</v>
      </c>
      <c r="V47" s="5">
        <v>7.9936214587655985E-2</v>
      </c>
    </row>
    <row r="48" spans="1:22" x14ac:dyDescent="0.3">
      <c r="A48">
        <f t="shared" si="0"/>
        <v>47</v>
      </c>
      <c r="B48" t="s">
        <v>132</v>
      </c>
      <c r="C48" s="1">
        <v>45666</v>
      </c>
      <c r="D48" t="s">
        <v>44</v>
      </c>
      <c r="E48" s="6" t="s">
        <v>663</v>
      </c>
      <c r="F48" s="6" t="s">
        <v>21</v>
      </c>
      <c r="G48" s="6" t="s">
        <v>65</v>
      </c>
      <c r="H48" t="s">
        <v>15</v>
      </c>
      <c r="I48" s="6" t="s">
        <v>16</v>
      </c>
      <c r="J48" s="6" t="s">
        <v>32</v>
      </c>
      <c r="K48" s="6" t="s">
        <v>33</v>
      </c>
      <c r="L48" s="6" t="s">
        <v>73</v>
      </c>
      <c r="M48" s="12">
        <v>170</v>
      </c>
      <c r="N48" s="2">
        <v>133.69999999999999</v>
      </c>
      <c r="O48" s="4">
        <v>6.8199999999999997E-2</v>
      </c>
      <c r="P48" s="2">
        <v>22728.999999999996</v>
      </c>
      <c r="Q48" s="2">
        <v>2606.4499999999998</v>
      </c>
      <c r="R48" s="2">
        <v>12244.05</v>
      </c>
      <c r="S48" s="2">
        <v>1597.4</v>
      </c>
      <c r="T48" s="2">
        <v>21178.882199999996</v>
      </c>
      <c r="U48" s="2">
        <v>4730.9821999999958</v>
      </c>
      <c r="V48" s="5">
        <v>0.22338205365720371</v>
      </c>
    </row>
    <row r="49" spans="1:22" x14ac:dyDescent="0.3">
      <c r="A49">
        <f t="shared" si="0"/>
        <v>48</v>
      </c>
      <c r="B49" t="s">
        <v>133</v>
      </c>
      <c r="C49" s="1">
        <v>45769</v>
      </c>
      <c r="D49" t="s">
        <v>61</v>
      </c>
      <c r="E49" s="6" t="s">
        <v>662</v>
      </c>
      <c r="F49" s="6" t="s">
        <v>42</v>
      </c>
      <c r="G49" s="6" t="s">
        <v>69</v>
      </c>
      <c r="H49" t="s">
        <v>27</v>
      </c>
      <c r="I49" s="6" t="s">
        <v>28</v>
      </c>
      <c r="J49" s="6" t="s">
        <v>17</v>
      </c>
      <c r="K49" s="6" t="s">
        <v>33</v>
      </c>
      <c r="L49" s="6" t="s">
        <v>34</v>
      </c>
      <c r="M49" s="12">
        <v>500</v>
      </c>
      <c r="N49" s="2">
        <v>94.5</v>
      </c>
      <c r="O49" s="4">
        <v>0.17469999999999999</v>
      </c>
      <c r="P49" s="2">
        <v>47250</v>
      </c>
      <c r="Q49" s="2">
        <v>3700.2</v>
      </c>
      <c r="R49" s="2">
        <v>22091.65</v>
      </c>
      <c r="S49" s="2">
        <v>1918.3500000000001</v>
      </c>
      <c r="T49" s="2">
        <v>38995.425000000003</v>
      </c>
      <c r="U49" s="2">
        <v>11285.225000000002</v>
      </c>
      <c r="V49" s="5">
        <v>0.28939869228249215</v>
      </c>
    </row>
    <row r="50" spans="1:22" x14ac:dyDescent="0.3">
      <c r="A50">
        <f t="shared" si="0"/>
        <v>49</v>
      </c>
      <c r="B50" t="s">
        <v>134</v>
      </c>
      <c r="C50" s="1">
        <v>46006</v>
      </c>
      <c r="D50" t="s">
        <v>50</v>
      </c>
      <c r="E50" s="6" t="s">
        <v>662</v>
      </c>
      <c r="F50" s="6" t="s">
        <v>42</v>
      </c>
      <c r="G50" s="6" t="s">
        <v>64</v>
      </c>
      <c r="H50" t="s">
        <v>15</v>
      </c>
      <c r="I50" s="6" t="s">
        <v>23</v>
      </c>
      <c r="J50" s="6" t="s">
        <v>32</v>
      </c>
      <c r="K50" s="6" t="s">
        <v>48</v>
      </c>
      <c r="L50" s="6" t="s">
        <v>74</v>
      </c>
      <c r="M50" s="12">
        <v>31</v>
      </c>
      <c r="N50" s="2">
        <v>158.19999999999999</v>
      </c>
      <c r="O50" s="4">
        <v>2.92E-2</v>
      </c>
      <c r="P50" s="2">
        <v>4904.2</v>
      </c>
      <c r="Q50" s="2">
        <v>730.45</v>
      </c>
      <c r="R50" s="2">
        <v>2976.4</v>
      </c>
      <c r="S50" s="2">
        <v>567</v>
      </c>
      <c r="T50" s="2">
        <v>4760.9973599999994</v>
      </c>
      <c r="U50" s="2">
        <v>487.14735999999925</v>
      </c>
      <c r="V50" s="5">
        <v>0.10232044321066359</v>
      </c>
    </row>
    <row r="51" spans="1:22" x14ac:dyDescent="0.3">
      <c r="A51">
        <f t="shared" si="0"/>
        <v>50</v>
      </c>
      <c r="B51" t="s">
        <v>135</v>
      </c>
      <c r="C51" s="1">
        <v>46000</v>
      </c>
      <c r="D51" t="s">
        <v>50</v>
      </c>
      <c r="E51" s="6" t="s">
        <v>664</v>
      </c>
      <c r="F51" s="6" t="s">
        <v>63</v>
      </c>
      <c r="G51" s="6" t="s">
        <v>69</v>
      </c>
      <c r="H51" t="s">
        <v>27</v>
      </c>
      <c r="I51" s="6" t="s">
        <v>28</v>
      </c>
      <c r="J51" s="6" t="s">
        <v>17</v>
      </c>
      <c r="K51" s="6" t="s">
        <v>37</v>
      </c>
      <c r="L51" s="6" t="s">
        <v>72</v>
      </c>
      <c r="M51" s="12">
        <v>236</v>
      </c>
      <c r="N51" s="2">
        <v>60.55</v>
      </c>
      <c r="O51" s="4">
        <v>0.18789999999999998</v>
      </c>
      <c r="P51" s="2">
        <v>14289.8</v>
      </c>
      <c r="Q51" s="2">
        <v>1202.5999999999999</v>
      </c>
      <c r="R51" s="2">
        <v>6408.5</v>
      </c>
      <c r="S51" s="2">
        <v>656.25</v>
      </c>
      <c r="T51" s="2">
        <v>11604.746580000001</v>
      </c>
      <c r="U51" s="2">
        <v>3337.396580000001</v>
      </c>
      <c r="V51" s="5">
        <v>0.2875889238074168</v>
      </c>
    </row>
    <row r="52" spans="1:22" x14ac:dyDescent="0.3">
      <c r="A52">
        <f t="shared" si="0"/>
        <v>51</v>
      </c>
      <c r="B52" t="s">
        <v>136</v>
      </c>
      <c r="C52" s="1">
        <v>45835</v>
      </c>
      <c r="D52" t="s">
        <v>58</v>
      </c>
      <c r="E52" s="6" t="s">
        <v>664</v>
      </c>
      <c r="F52" s="6" t="s">
        <v>63</v>
      </c>
      <c r="G52" s="6" t="s">
        <v>43</v>
      </c>
      <c r="H52" t="s">
        <v>15</v>
      </c>
      <c r="I52" s="6" t="s">
        <v>23</v>
      </c>
      <c r="J52" s="6" t="s">
        <v>32</v>
      </c>
      <c r="K52" s="6" t="s">
        <v>33</v>
      </c>
      <c r="L52" s="6" t="s">
        <v>34</v>
      </c>
      <c r="M52" s="12">
        <v>91</v>
      </c>
      <c r="N52" s="2">
        <v>102.89999999999999</v>
      </c>
      <c r="O52" s="4">
        <v>3.0200000000000001E-2</v>
      </c>
      <c r="P52" s="2">
        <v>9363.9</v>
      </c>
      <c r="Q52" s="2">
        <v>1358.3500000000001</v>
      </c>
      <c r="R52" s="2">
        <v>5026.7</v>
      </c>
      <c r="S52" s="2">
        <v>807.45</v>
      </c>
      <c r="T52" s="2">
        <v>9081.1102200000005</v>
      </c>
      <c r="U52" s="2">
        <v>1888.6102199999998</v>
      </c>
      <c r="V52" s="5">
        <v>0.20797129142211862</v>
      </c>
    </row>
    <row r="53" spans="1:22" x14ac:dyDescent="0.3">
      <c r="A53">
        <f t="shared" si="0"/>
        <v>52</v>
      </c>
      <c r="B53" t="s">
        <v>137</v>
      </c>
      <c r="C53" s="1">
        <v>45681</v>
      </c>
      <c r="D53" t="s">
        <v>44</v>
      </c>
      <c r="E53" s="6" t="s">
        <v>664</v>
      </c>
      <c r="F53" s="6" t="s">
        <v>63</v>
      </c>
      <c r="G53" s="6" t="s">
        <v>64</v>
      </c>
      <c r="H53" t="s">
        <v>15</v>
      </c>
      <c r="I53" s="6" t="s">
        <v>23</v>
      </c>
      <c r="J53" s="6" t="s">
        <v>17</v>
      </c>
      <c r="K53" s="6" t="s">
        <v>37</v>
      </c>
      <c r="L53" s="6" t="s">
        <v>75</v>
      </c>
      <c r="M53" s="12">
        <v>48</v>
      </c>
      <c r="N53" s="2">
        <v>131.94999999999999</v>
      </c>
      <c r="O53" s="4">
        <v>8.4100000000000008E-2</v>
      </c>
      <c r="P53" s="2">
        <v>6333.5999999999995</v>
      </c>
      <c r="Q53" s="2">
        <v>927.85</v>
      </c>
      <c r="R53" s="2">
        <v>3211.95</v>
      </c>
      <c r="S53" s="2">
        <v>616.35</v>
      </c>
      <c r="T53" s="2">
        <v>5800.9442399999989</v>
      </c>
      <c r="U53" s="2">
        <v>1044.7942399999988</v>
      </c>
      <c r="V53" s="5">
        <v>0.18010761641108258</v>
      </c>
    </row>
    <row r="54" spans="1:22" x14ac:dyDescent="0.3">
      <c r="A54">
        <f t="shared" si="0"/>
        <v>53</v>
      </c>
      <c r="B54" t="s">
        <v>138</v>
      </c>
      <c r="C54" s="1">
        <v>45909</v>
      </c>
      <c r="D54" t="s">
        <v>14</v>
      </c>
      <c r="E54" s="6" t="s">
        <v>664</v>
      </c>
      <c r="F54" s="6" t="s">
        <v>63</v>
      </c>
      <c r="G54" s="6" t="s">
        <v>82</v>
      </c>
      <c r="H54" t="s">
        <v>27</v>
      </c>
      <c r="I54" s="6" t="s">
        <v>28</v>
      </c>
      <c r="J54" s="6" t="s">
        <v>32</v>
      </c>
      <c r="K54" s="6" t="s">
        <v>48</v>
      </c>
      <c r="L54" s="6" t="s">
        <v>49</v>
      </c>
      <c r="M54" s="12">
        <v>179</v>
      </c>
      <c r="N54" s="2">
        <v>108.14999999999999</v>
      </c>
      <c r="O54" s="4">
        <v>0.10189999999999999</v>
      </c>
      <c r="P54" s="2">
        <v>19358.849999999999</v>
      </c>
      <c r="Q54" s="2">
        <v>1309</v>
      </c>
      <c r="R54" s="2">
        <v>9639</v>
      </c>
      <c r="S54" s="2">
        <v>1040.8999999999999</v>
      </c>
      <c r="T54" s="2">
        <v>17386.183184999998</v>
      </c>
      <c r="U54" s="2">
        <v>5397.2831849999984</v>
      </c>
      <c r="V54" s="5">
        <v>0.31043519601568026</v>
      </c>
    </row>
    <row r="55" spans="1:22" x14ac:dyDescent="0.3">
      <c r="A55">
        <f t="shared" si="0"/>
        <v>54</v>
      </c>
      <c r="B55" t="s">
        <v>139</v>
      </c>
      <c r="C55" s="1">
        <v>45704</v>
      </c>
      <c r="D55" t="s">
        <v>55</v>
      </c>
      <c r="E55" s="6" t="s">
        <v>664</v>
      </c>
      <c r="F55" s="6" t="s">
        <v>63</v>
      </c>
      <c r="G55" s="6" t="s">
        <v>69</v>
      </c>
      <c r="H55" t="s">
        <v>27</v>
      </c>
      <c r="I55" s="6" t="s">
        <v>31</v>
      </c>
      <c r="J55" s="6" t="s">
        <v>32</v>
      </c>
      <c r="K55" s="6" t="s">
        <v>37</v>
      </c>
      <c r="L55" s="6" t="s">
        <v>38</v>
      </c>
      <c r="M55" s="12">
        <v>502</v>
      </c>
      <c r="N55" s="2">
        <v>79.8</v>
      </c>
      <c r="O55" s="4">
        <v>0.15259999999999999</v>
      </c>
      <c r="P55" s="2">
        <v>40059.599999999999</v>
      </c>
      <c r="Q55" s="2">
        <v>1409.1</v>
      </c>
      <c r="R55" s="2">
        <v>16845.849999999999</v>
      </c>
      <c r="S55" s="2">
        <v>1681.05</v>
      </c>
      <c r="T55" s="2">
        <v>33946.505040000004</v>
      </c>
      <c r="U55" s="2">
        <v>14010.505040000005</v>
      </c>
      <c r="V55" s="5">
        <v>0.41272304832238493</v>
      </c>
    </row>
    <row r="56" spans="1:22" x14ac:dyDescent="0.3">
      <c r="A56">
        <f t="shared" si="0"/>
        <v>55</v>
      </c>
      <c r="B56" t="s">
        <v>140</v>
      </c>
      <c r="C56" s="1">
        <v>45695</v>
      </c>
      <c r="D56" t="s">
        <v>55</v>
      </c>
      <c r="E56" s="6" t="s">
        <v>664</v>
      </c>
      <c r="F56" s="6" t="s">
        <v>63</v>
      </c>
      <c r="G56" s="6" t="s">
        <v>68</v>
      </c>
      <c r="H56" t="s">
        <v>15</v>
      </c>
      <c r="I56" s="6" t="s">
        <v>23</v>
      </c>
      <c r="J56" s="6" t="s">
        <v>32</v>
      </c>
      <c r="K56" s="6" t="s">
        <v>18</v>
      </c>
      <c r="L56" s="6" t="s">
        <v>59</v>
      </c>
      <c r="M56" s="12">
        <v>20</v>
      </c>
      <c r="N56" s="2">
        <v>231.35000000000002</v>
      </c>
      <c r="O56" s="4">
        <v>8.3000000000000004E-2</v>
      </c>
      <c r="P56" s="2">
        <v>4627</v>
      </c>
      <c r="Q56" s="2">
        <v>619.5</v>
      </c>
      <c r="R56" s="2">
        <v>2284.1000000000004</v>
      </c>
      <c r="S56" s="2">
        <v>374.5</v>
      </c>
      <c r="T56" s="2">
        <v>4242.9589999999998</v>
      </c>
      <c r="U56" s="2">
        <v>964.85899999999947</v>
      </c>
      <c r="V56" s="5">
        <v>0.22740238592925349</v>
      </c>
    </row>
    <row r="57" spans="1:22" x14ac:dyDescent="0.3">
      <c r="A57">
        <f t="shared" si="0"/>
        <v>56</v>
      </c>
      <c r="B57" t="s">
        <v>141</v>
      </c>
      <c r="C57" s="1">
        <v>46003</v>
      </c>
      <c r="D57" t="s">
        <v>50</v>
      </c>
      <c r="E57" s="6" t="s">
        <v>664</v>
      </c>
      <c r="F57" s="6" t="s">
        <v>63</v>
      </c>
      <c r="G57" s="6" t="s">
        <v>64</v>
      </c>
      <c r="H57" t="s">
        <v>15</v>
      </c>
      <c r="I57" s="6" t="s">
        <v>23</v>
      </c>
      <c r="J57" s="6" t="s">
        <v>45</v>
      </c>
      <c r="K57" s="6" t="s">
        <v>46</v>
      </c>
      <c r="L57" s="6" t="s">
        <v>51</v>
      </c>
      <c r="M57" s="12">
        <v>48</v>
      </c>
      <c r="N57" s="2">
        <v>136.15</v>
      </c>
      <c r="O57" s="4">
        <v>0.1991</v>
      </c>
      <c r="P57" s="2">
        <v>6535.2000000000007</v>
      </c>
      <c r="Q57" s="2">
        <v>1220.8000000000002</v>
      </c>
      <c r="R57" s="2">
        <v>2606.4499999999998</v>
      </c>
      <c r="S57" s="2">
        <v>520.44999999999993</v>
      </c>
      <c r="T57" s="2">
        <v>5234.0416800000003</v>
      </c>
      <c r="U57" s="2">
        <v>886.34168000000045</v>
      </c>
      <c r="V57" s="5">
        <v>0.16934173134058811</v>
      </c>
    </row>
    <row r="58" spans="1:22" x14ac:dyDescent="0.3">
      <c r="A58">
        <f t="shared" si="0"/>
        <v>57</v>
      </c>
      <c r="B58" t="s">
        <v>142</v>
      </c>
      <c r="C58" s="1">
        <v>45769</v>
      </c>
      <c r="D58" t="s">
        <v>61</v>
      </c>
      <c r="E58" s="6" t="s">
        <v>663</v>
      </c>
      <c r="F58" s="6" t="s">
        <v>21</v>
      </c>
      <c r="G58" s="6" t="s">
        <v>64</v>
      </c>
      <c r="H58" t="s">
        <v>15</v>
      </c>
      <c r="I58" s="6" t="s">
        <v>23</v>
      </c>
      <c r="J58" s="6" t="s">
        <v>17</v>
      </c>
      <c r="K58" s="6" t="s">
        <v>48</v>
      </c>
      <c r="L58" s="6" t="s">
        <v>54</v>
      </c>
      <c r="M58" s="12">
        <v>70</v>
      </c>
      <c r="N58" s="2">
        <v>81.199999999999989</v>
      </c>
      <c r="O58" s="4">
        <v>0.1133</v>
      </c>
      <c r="P58" s="2">
        <v>5683.9999999999991</v>
      </c>
      <c r="Q58" s="2">
        <v>1037.75</v>
      </c>
      <c r="R58" s="2">
        <v>3579.1000000000004</v>
      </c>
      <c r="S58" s="2">
        <v>585.19999999999993</v>
      </c>
      <c r="T58" s="2">
        <v>5040.0027999999993</v>
      </c>
      <c r="U58" s="2">
        <v>-162.04720000000088</v>
      </c>
      <c r="V58" s="5">
        <v>-3.2152204359886645E-2</v>
      </c>
    </row>
    <row r="59" spans="1:22" x14ac:dyDescent="0.3">
      <c r="A59">
        <f t="shared" si="0"/>
        <v>58</v>
      </c>
      <c r="B59" t="s">
        <v>143</v>
      </c>
      <c r="C59" s="1">
        <v>45945</v>
      </c>
      <c r="D59" t="s">
        <v>20</v>
      </c>
      <c r="E59" s="6" t="s">
        <v>662</v>
      </c>
      <c r="F59" s="6" t="s">
        <v>42</v>
      </c>
      <c r="G59" s="6" t="s">
        <v>68</v>
      </c>
      <c r="H59" t="s">
        <v>15</v>
      </c>
      <c r="I59" s="6" t="s">
        <v>16</v>
      </c>
      <c r="J59" s="6" t="s">
        <v>17</v>
      </c>
      <c r="K59" s="6" t="s">
        <v>18</v>
      </c>
      <c r="L59" s="6" t="s">
        <v>80</v>
      </c>
      <c r="M59" s="12">
        <v>35</v>
      </c>
      <c r="N59" s="2">
        <v>83.3</v>
      </c>
      <c r="O59" s="4">
        <v>8.929999999999999E-2</v>
      </c>
      <c r="P59" s="2">
        <v>2915.5</v>
      </c>
      <c r="Q59" s="2">
        <v>391.3</v>
      </c>
      <c r="R59" s="2">
        <v>1274.3499999999999</v>
      </c>
      <c r="S59" s="2">
        <v>187.60000000000002</v>
      </c>
      <c r="T59" s="2">
        <v>2655.1458500000003</v>
      </c>
      <c r="U59" s="2">
        <v>801.89585000000056</v>
      </c>
      <c r="V59" s="5">
        <v>0.30201574425751432</v>
      </c>
    </row>
    <row r="60" spans="1:22" x14ac:dyDescent="0.3">
      <c r="A60">
        <f t="shared" si="0"/>
        <v>59</v>
      </c>
      <c r="B60" t="s">
        <v>144</v>
      </c>
      <c r="C60" s="1">
        <v>45665</v>
      </c>
      <c r="D60" t="s">
        <v>44</v>
      </c>
      <c r="E60" s="6" t="s">
        <v>663</v>
      </c>
      <c r="F60" s="6" t="s">
        <v>21</v>
      </c>
      <c r="G60" s="6" t="s">
        <v>22</v>
      </c>
      <c r="H60" t="s">
        <v>27</v>
      </c>
      <c r="I60" s="6" t="s">
        <v>16</v>
      </c>
      <c r="J60" s="6" t="s">
        <v>17</v>
      </c>
      <c r="K60" s="6" t="s">
        <v>33</v>
      </c>
      <c r="L60" s="6" t="s">
        <v>34</v>
      </c>
      <c r="M60" s="12">
        <v>151</v>
      </c>
      <c r="N60" s="2">
        <v>99.05</v>
      </c>
      <c r="O60" s="4">
        <v>0.15859999999999999</v>
      </c>
      <c r="P60" s="2">
        <v>14956.55</v>
      </c>
      <c r="Q60" s="2">
        <v>1736</v>
      </c>
      <c r="R60" s="2">
        <v>7565.95</v>
      </c>
      <c r="S60" s="2">
        <v>975.45</v>
      </c>
      <c r="T60" s="2">
        <v>12584.44117</v>
      </c>
      <c r="U60" s="2">
        <v>2307.0411699999995</v>
      </c>
      <c r="V60" s="5">
        <v>0.1833248802099966</v>
      </c>
    </row>
    <row r="61" spans="1:22" x14ac:dyDescent="0.3">
      <c r="A61">
        <f t="shared" si="0"/>
        <v>60</v>
      </c>
      <c r="B61" t="s">
        <v>145</v>
      </c>
      <c r="C61" s="1">
        <v>45688</v>
      </c>
      <c r="D61" t="s">
        <v>44</v>
      </c>
      <c r="E61" s="6" t="s">
        <v>662</v>
      </c>
      <c r="F61" s="6" t="s">
        <v>42</v>
      </c>
      <c r="G61" s="6" t="s">
        <v>68</v>
      </c>
      <c r="H61" t="s">
        <v>27</v>
      </c>
      <c r="I61" s="6" t="s">
        <v>31</v>
      </c>
      <c r="J61" s="6" t="s">
        <v>24</v>
      </c>
      <c r="K61" s="6" t="s">
        <v>46</v>
      </c>
      <c r="L61" s="6" t="s">
        <v>47</v>
      </c>
      <c r="M61" s="12">
        <v>955</v>
      </c>
      <c r="N61" s="2">
        <v>158.19999999999999</v>
      </c>
      <c r="O61" s="4">
        <v>0.18989999999999999</v>
      </c>
      <c r="P61" s="2">
        <v>151081</v>
      </c>
      <c r="Q61" s="2">
        <v>9240.6999999999989</v>
      </c>
      <c r="R61" s="2">
        <v>77832.649999999994</v>
      </c>
      <c r="S61" s="2">
        <v>7061.9500000000007</v>
      </c>
      <c r="T61" s="2">
        <v>122390.71810000001</v>
      </c>
      <c r="U61" s="2">
        <v>28255.418100000024</v>
      </c>
      <c r="V61" s="5">
        <v>0.23086242599633885</v>
      </c>
    </row>
    <row r="62" spans="1:22" x14ac:dyDescent="0.3">
      <c r="A62">
        <f t="shared" si="0"/>
        <v>61</v>
      </c>
      <c r="B62" t="s">
        <v>146</v>
      </c>
      <c r="C62" s="1">
        <v>45666</v>
      </c>
      <c r="D62" t="s">
        <v>44</v>
      </c>
      <c r="E62" s="6" t="s">
        <v>664</v>
      </c>
      <c r="F62" s="6" t="s">
        <v>63</v>
      </c>
      <c r="G62" s="6" t="s">
        <v>65</v>
      </c>
      <c r="H62" t="s">
        <v>15</v>
      </c>
      <c r="I62" s="6" t="s">
        <v>23</v>
      </c>
      <c r="J62" s="6" t="s">
        <v>17</v>
      </c>
      <c r="K62" s="6" t="s">
        <v>33</v>
      </c>
      <c r="L62" s="6" t="s">
        <v>34</v>
      </c>
      <c r="M62" s="12">
        <v>31</v>
      </c>
      <c r="N62" s="2">
        <v>101.85000000000001</v>
      </c>
      <c r="O62" s="4">
        <v>0.1114</v>
      </c>
      <c r="P62" s="2">
        <v>3157.3500000000004</v>
      </c>
      <c r="Q62" s="2">
        <v>455.7</v>
      </c>
      <c r="R62" s="2">
        <v>1509.1999999999998</v>
      </c>
      <c r="S62" s="2">
        <v>245</v>
      </c>
      <c r="T62" s="2">
        <v>2805.6212100000007</v>
      </c>
      <c r="U62" s="2">
        <v>595.72121000000084</v>
      </c>
      <c r="V62" s="5">
        <v>0.21233130398240777</v>
      </c>
    </row>
    <row r="63" spans="1:22" x14ac:dyDescent="0.3">
      <c r="A63">
        <f t="shared" si="0"/>
        <v>62</v>
      </c>
      <c r="B63" t="s">
        <v>147</v>
      </c>
      <c r="C63" s="1">
        <v>45825</v>
      </c>
      <c r="D63" t="s">
        <v>58</v>
      </c>
      <c r="E63" s="6" t="s">
        <v>662</v>
      </c>
      <c r="F63" s="6" t="s">
        <v>66</v>
      </c>
      <c r="G63" s="6" t="s">
        <v>64</v>
      </c>
      <c r="H63" t="s">
        <v>15</v>
      </c>
      <c r="I63" s="6" t="s">
        <v>16</v>
      </c>
      <c r="J63" s="6" t="s">
        <v>17</v>
      </c>
      <c r="K63" s="6" t="s">
        <v>37</v>
      </c>
      <c r="L63" s="6" t="s">
        <v>75</v>
      </c>
      <c r="M63" s="12">
        <v>126</v>
      </c>
      <c r="N63" s="2">
        <v>133</v>
      </c>
      <c r="O63" s="4">
        <v>0.10339999999999999</v>
      </c>
      <c r="P63" s="2">
        <v>16758</v>
      </c>
      <c r="Q63" s="2">
        <v>1872.85</v>
      </c>
      <c r="R63" s="2">
        <v>7658</v>
      </c>
      <c r="S63" s="2">
        <v>1017.0999999999999</v>
      </c>
      <c r="T63" s="2">
        <v>15025.222800000001</v>
      </c>
      <c r="U63" s="2">
        <v>4477.2728000000006</v>
      </c>
      <c r="V63" s="5">
        <v>0.29798378763474975</v>
      </c>
    </row>
    <row r="64" spans="1:22" x14ac:dyDescent="0.3">
      <c r="A64">
        <f t="shared" si="0"/>
        <v>63</v>
      </c>
      <c r="B64" t="s">
        <v>148</v>
      </c>
      <c r="C64" s="1">
        <v>45782</v>
      </c>
      <c r="D64" t="s">
        <v>30</v>
      </c>
      <c r="E64" s="6" t="s">
        <v>663</v>
      </c>
      <c r="F64" s="6" t="s">
        <v>21</v>
      </c>
      <c r="G64" s="6" t="s">
        <v>65</v>
      </c>
      <c r="H64" t="s">
        <v>27</v>
      </c>
      <c r="I64" s="6" t="s">
        <v>28</v>
      </c>
      <c r="J64" s="6" t="s">
        <v>32</v>
      </c>
      <c r="K64" s="6" t="s">
        <v>46</v>
      </c>
      <c r="L64" s="6" t="s">
        <v>76</v>
      </c>
      <c r="M64" s="12">
        <v>320</v>
      </c>
      <c r="N64" s="2">
        <v>282.10000000000002</v>
      </c>
      <c r="O64" s="4">
        <v>7.3700000000000002E-2</v>
      </c>
      <c r="P64" s="2">
        <v>90272</v>
      </c>
      <c r="Q64" s="2">
        <v>11727.8</v>
      </c>
      <c r="R64" s="2">
        <v>47261.899999999994</v>
      </c>
      <c r="S64" s="2">
        <v>5113.1500000000005</v>
      </c>
      <c r="T64" s="2">
        <v>83618.953600000008</v>
      </c>
      <c r="U64" s="2">
        <v>19516.10360000002</v>
      </c>
      <c r="V64" s="5">
        <v>0.2333933009178438</v>
      </c>
    </row>
    <row r="65" spans="1:22" x14ac:dyDescent="0.3">
      <c r="A65">
        <f t="shared" si="0"/>
        <v>64</v>
      </c>
      <c r="B65" t="s">
        <v>149</v>
      </c>
      <c r="C65" s="1">
        <v>45856</v>
      </c>
      <c r="D65" t="s">
        <v>26</v>
      </c>
      <c r="E65" s="6" t="s">
        <v>663</v>
      </c>
      <c r="F65" s="6" t="s">
        <v>21</v>
      </c>
      <c r="G65" s="6" t="s">
        <v>64</v>
      </c>
      <c r="H65" t="s">
        <v>15</v>
      </c>
      <c r="I65" s="6" t="s">
        <v>23</v>
      </c>
      <c r="J65" s="6" t="s">
        <v>32</v>
      </c>
      <c r="K65" s="6" t="s">
        <v>37</v>
      </c>
      <c r="L65" s="6" t="s">
        <v>90</v>
      </c>
      <c r="M65" s="12">
        <v>86</v>
      </c>
      <c r="N65" s="2">
        <v>130.20000000000002</v>
      </c>
      <c r="O65" s="4">
        <v>1.6899999999999998E-2</v>
      </c>
      <c r="P65" s="2">
        <v>11197.2</v>
      </c>
      <c r="Q65" s="2">
        <v>1468.6000000000001</v>
      </c>
      <c r="R65" s="2">
        <v>6185.2</v>
      </c>
      <c r="S65" s="2">
        <v>1031.8</v>
      </c>
      <c r="T65" s="2">
        <v>11007.96732</v>
      </c>
      <c r="U65" s="2">
        <v>2322.3673200000003</v>
      </c>
      <c r="V65" s="5">
        <v>0.2109714947809275</v>
      </c>
    </row>
    <row r="66" spans="1:22" x14ac:dyDescent="0.3">
      <c r="A66">
        <f t="shared" ref="A66:A129" si="1">ROW(B65)</f>
        <v>65</v>
      </c>
      <c r="B66" t="s">
        <v>150</v>
      </c>
      <c r="C66" s="1">
        <v>45715</v>
      </c>
      <c r="D66" t="s">
        <v>55</v>
      </c>
      <c r="E66" s="6" t="s">
        <v>662</v>
      </c>
      <c r="F66" s="6" t="s">
        <v>42</v>
      </c>
      <c r="G66" s="6" t="s">
        <v>22</v>
      </c>
      <c r="H66" t="s">
        <v>27</v>
      </c>
      <c r="I66" s="6" t="s">
        <v>31</v>
      </c>
      <c r="J66" s="6" t="s">
        <v>84</v>
      </c>
      <c r="K66" s="6" t="s">
        <v>37</v>
      </c>
      <c r="L66" s="6" t="s">
        <v>90</v>
      </c>
      <c r="M66" s="12">
        <v>288</v>
      </c>
      <c r="N66" s="2">
        <v>141.05000000000001</v>
      </c>
      <c r="O66" s="4">
        <v>0.18890000000000001</v>
      </c>
      <c r="P66" s="2">
        <v>40622.400000000001</v>
      </c>
      <c r="Q66" s="2">
        <v>3423</v>
      </c>
      <c r="R66" s="2">
        <v>18740.75</v>
      </c>
      <c r="S66" s="2">
        <v>1453.2</v>
      </c>
      <c r="T66" s="2">
        <v>32948.82864</v>
      </c>
      <c r="U66" s="2">
        <v>9331.878639999999</v>
      </c>
      <c r="V66" s="5">
        <v>0.28322338077509268</v>
      </c>
    </row>
    <row r="67" spans="1:22" x14ac:dyDescent="0.3">
      <c r="A67">
        <f t="shared" si="1"/>
        <v>66</v>
      </c>
      <c r="B67" t="s">
        <v>151</v>
      </c>
      <c r="C67" s="1">
        <v>45717</v>
      </c>
      <c r="D67" t="s">
        <v>41</v>
      </c>
      <c r="E67" s="6" t="s">
        <v>662</v>
      </c>
      <c r="F67" s="6" t="s">
        <v>66</v>
      </c>
      <c r="G67" s="6" t="s">
        <v>68</v>
      </c>
      <c r="H67" t="s">
        <v>27</v>
      </c>
      <c r="I67" s="6" t="s">
        <v>16</v>
      </c>
      <c r="J67" s="6" t="s">
        <v>17</v>
      </c>
      <c r="K67" s="6" t="s">
        <v>18</v>
      </c>
      <c r="L67" s="6" t="s">
        <v>19</v>
      </c>
      <c r="M67" s="12">
        <v>237</v>
      </c>
      <c r="N67" s="2">
        <v>183.75</v>
      </c>
      <c r="O67" s="4">
        <v>0.1341</v>
      </c>
      <c r="P67" s="2">
        <v>43548.75</v>
      </c>
      <c r="Q67" s="2">
        <v>4609.8500000000004</v>
      </c>
      <c r="R67" s="2">
        <v>21661.149999999998</v>
      </c>
      <c r="S67" s="2">
        <v>2992.1499999999996</v>
      </c>
      <c r="T67" s="2">
        <v>37708.862625000002</v>
      </c>
      <c r="U67" s="2">
        <v>8445.7126250000019</v>
      </c>
      <c r="V67" s="5">
        <v>0.22397155567881574</v>
      </c>
    </row>
    <row r="68" spans="1:22" x14ac:dyDescent="0.3">
      <c r="A68">
        <f t="shared" si="1"/>
        <v>67</v>
      </c>
      <c r="B68" t="s">
        <v>152</v>
      </c>
      <c r="C68" s="1">
        <v>45896</v>
      </c>
      <c r="D68" t="s">
        <v>35</v>
      </c>
      <c r="E68" s="6" t="s">
        <v>662</v>
      </c>
      <c r="F68" s="6" t="s">
        <v>66</v>
      </c>
      <c r="G68" s="6" t="s">
        <v>65</v>
      </c>
      <c r="H68" t="s">
        <v>27</v>
      </c>
      <c r="I68" s="6" t="s">
        <v>16</v>
      </c>
      <c r="J68" s="6" t="s">
        <v>17</v>
      </c>
      <c r="K68" s="6" t="s">
        <v>33</v>
      </c>
      <c r="L68" s="6" t="s">
        <v>78</v>
      </c>
      <c r="M68" s="12">
        <v>249</v>
      </c>
      <c r="N68" s="2">
        <v>93.800000000000011</v>
      </c>
      <c r="O68" s="4">
        <v>0.1573</v>
      </c>
      <c r="P68" s="2">
        <v>23356.200000000004</v>
      </c>
      <c r="Q68" s="2">
        <v>2957.5</v>
      </c>
      <c r="R68" s="2">
        <v>12280.8</v>
      </c>
      <c r="S68" s="2">
        <v>1247.4000000000001</v>
      </c>
      <c r="T68" s="2">
        <v>19682.269740000003</v>
      </c>
      <c r="U68" s="2">
        <v>3196.5697400000026</v>
      </c>
      <c r="V68" s="5">
        <v>0.16240859322762244</v>
      </c>
    </row>
    <row r="69" spans="1:22" x14ac:dyDescent="0.3">
      <c r="A69">
        <f t="shared" si="1"/>
        <v>68</v>
      </c>
      <c r="B69" t="s">
        <v>153</v>
      </c>
      <c r="C69" s="1">
        <v>45704</v>
      </c>
      <c r="D69" t="s">
        <v>55</v>
      </c>
      <c r="E69" s="6" t="s">
        <v>662</v>
      </c>
      <c r="F69" s="6" t="s">
        <v>66</v>
      </c>
      <c r="G69" s="6" t="s">
        <v>65</v>
      </c>
      <c r="H69" t="s">
        <v>27</v>
      </c>
      <c r="I69" s="6" t="s">
        <v>16</v>
      </c>
      <c r="J69" s="6" t="s">
        <v>32</v>
      </c>
      <c r="K69" s="6" t="s">
        <v>18</v>
      </c>
      <c r="L69" s="6" t="s">
        <v>19</v>
      </c>
      <c r="M69" s="12">
        <v>111</v>
      </c>
      <c r="N69" s="2">
        <v>192.85</v>
      </c>
      <c r="O69" s="4">
        <v>9.5600000000000004E-2</v>
      </c>
      <c r="P69" s="2">
        <v>21406.35</v>
      </c>
      <c r="Q69" s="2">
        <v>1545.25</v>
      </c>
      <c r="R69" s="2">
        <v>11723.95</v>
      </c>
      <c r="S69" s="2">
        <v>1243.2</v>
      </c>
      <c r="T69" s="2">
        <v>19359.90294</v>
      </c>
      <c r="U69" s="2">
        <v>4847.5029399999985</v>
      </c>
      <c r="V69" s="5">
        <v>0.2503888038603978</v>
      </c>
    </row>
    <row r="70" spans="1:22" x14ac:dyDescent="0.3">
      <c r="A70">
        <f t="shared" si="1"/>
        <v>69</v>
      </c>
      <c r="B70" t="s">
        <v>154</v>
      </c>
      <c r="C70" s="1">
        <v>45821</v>
      </c>
      <c r="D70" t="s">
        <v>58</v>
      </c>
      <c r="E70" s="6" t="s">
        <v>662</v>
      </c>
      <c r="F70" s="6" t="s">
        <v>66</v>
      </c>
      <c r="G70" s="6" t="s">
        <v>65</v>
      </c>
      <c r="H70" t="s">
        <v>27</v>
      </c>
      <c r="I70" s="6" t="s">
        <v>31</v>
      </c>
      <c r="J70" s="6" t="s">
        <v>24</v>
      </c>
      <c r="K70" s="6" t="s">
        <v>48</v>
      </c>
      <c r="L70" s="6" t="s">
        <v>56</v>
      </c>
      <c r="M70" s="12">
        <v>1290</v>
      </c>
      <c r="N70" s="2">
        <v>110.60000000000001</v>
      </c>
      <c r="O70" s="4">
        <v>0.22359999999999999</v>
      </c>
      <c r="P70" s="2">
        <v>142674</v>
      </c>
      <c r="Q70" s="2">
        <v>25660.25</v>
      </c>
      <c r="R70" s="2">
        <v>62401.5</v>
      </c>
      <c r="S70" s="2">
        <v>5708.85</v>
      </c>
      <c r="T70" s="2">
        <v>110772.09359999999</v>
      </c>
      <c r="U70" s="2">
        <v>17001.493599999987</v>
      </c>
      <c r="V70" s="5">
        <v>0.15348173937555684</v>
      </c>
    </row>
    <row r="71" spans="1:22" x14ac:dyDescent="0.3">
      <c r="A71">
        <f t="shared" si="1"/>
        <v>70</v>
      </c>
      <c r="B71" t="s">
        <v>155</v>
      </c>
      <c r="C71" s="1">
        <v>45725</v>
      </c>
      <c r="D71" t="s">
        <v>41</v>
      </c>
      <c r="E71" s="6" t="s">
        <v>663</v>
      </c>
      <c r="F71" s="6" t="s">
        <v>21</v>
      </c>
      <c r="G71" s="6" t="s">
        <v>43</v>
      </c>
      <c r="H71" t="s">
        <v>27</v>
      </c>
      <c r="I71" s="6" t="s">
        <v>31</v>
      </c>
      <c r="J71" s="6" t="s">
        <v>24</v>
      </c>
      <c r="K71" s="6" t="s">
        <v>48</v>
      </c>
      <c r="L71" s="6" t="s">
        <v>49</v>
      </c>
      <c r="M71" s="12">
        <v>527</v>
      </c>
      <c r="N71" s="2">
        <v>110.25</v>
      </c>
      <c r="O71" s="4">
        <v>0.22159999999999999</v>
      </c>
      <c r="P71" s="2">
        <v>58101.75</v>
      </c>
      <c r="Q71" s="2">
        <v>6155.1</v>
      </c>
      <c r="R71" s="2">
        <v>25669</v>
      </c>
      <c r="S71" s="2">
        <v>2545.8999999999996</v>
      </c>
      <c r="T71" s="2">
        <v>45226.402199999997</v>
      </c>
      <c r="U71" s="2">
        <v>10856.402199999995</v>
      </c>
      <c r="V71" s="5">
        <v>0.240045674028875</v>
      </c>
    </row>
    <row r="72" spans="1:22" x14ac:dyDescent="0.3">
      <c r="A72">
        <f t="shared" si="1"/>
        <v>71</v>
      </c>
      <c r="B72" t="s">
        <v>156</v>
      </c>
      <c r="C72" s="1">
        <v>45877</v>
      </c>
      <c r="D72" t="s">
        <v>35</v>
      </c>
      <c r="E72" s="6" t="s">
        <v>664</v>
      </c>
      <c r="F72" s="6" t="s">
        <v>63</v>
      </c>
      <c r="G72" s="6" t="s">
        <v>69</v>
      </c>
      <c r="H72" t="s">
        <v>27</v>
      </c>
      <c r="I72" s="6" t="s">
        <v>31</v>
      </c>
      <c r="J72" s="6" t="s">
        <v>36</v>
      </c>
      <c r="K72" s="6" t="s">
        <v>37</v>
      </c>
      <c r="L72" s="6" t="s">
        <v>72</v>
      </c>
      <c r="M72" s="12">
        <v>535</v>
      </c>
      <c r="N72" s="2">
        <v>59.85</v>
      </c>
      <c r="O72" s="4">
        <v>0.17430000000000001</v>
      </c>
      <c r="P72" s="2">
        <v>32019.75</v>
      </c>
      <c r="Q72" s="2">
        <v>988.75</v>
      </c>
      <c r="R72" s="2">
        <v>14187.95</v>
      </c>
      <c r="S72" s="2">
        <v>1119.6499999999999</v>
      </c>
      <c r="T72" s="2">
        <v>26438.707575</v>
      </c>
      <c r="U72" s="2">
        <v>10142.357574999998</v>
      </c>
      <c r="V72" s="5">
        <v>0.38361775235149703</v>
      </c>
    </row>
    <row r="73" spans="1:22" x14ac:dyDescent="0.3">
      <c r="A73">
        <f t="shared" si="1"/>
        <v>72</v>
      </c>
      <c r="B73" t="s">
        <v>157</v>
      </c>
      <c r="C73" s="1">
        <v>45807</v>
      </c>
      <c r="D73" t="s">
        <v>30</v>
      </c>
      <c r="E73" s="6" t="s">
        <v>662</v>
      </c>
      <c r="F73" s="6" t="s">
        <v>66</v>
      </c>
      <c r="G73" s="6" t="s">
        <v>43</v>
      </c>
      <c r="H73" t="s">
        <v>15</v>
      </c>
      <c r="I73" s="6" t="s">
        <v>23</v>
      </c>
      <c r="J73" s="6" t="s">
        <v>84</v>
      </c>
      <c r="K73" s="6" t="s">
        <v>48</v>
      </c>
      <c r="L73" s="6" t="s">
        <v>54</v>
      </c>
      <c r="M73" s="12">
        <v>96</v>
      </c>
      <c r="N73" s="2">
        <v>79.8</v>
      </c>
      <c r="O73" s="4">
        <v>8.3900000000000002E-2</v>
      </c>
      <c r="P73" s="2">
        <v>7660.7999999999993</v>
      </c>
      <c r="Q73" s="2">
        <v>1578.85</v>
      </c>
      <c r="R73" s="2">
        <v>4980.5</v>
      </c>
      <c r="S73" s="2">
        <v>755.3</v>
      </c>
      <c r="T73" s="2">
        <v>7018.0588799999996</v>
      </c>
      <c r="U73" s="2">
        <v>-296.5911200000005</v>
      </c>
      <c r="V73" s="5">
        <v>-4.2261133038541919E-2</v>
      </c>
    </row>
    <row r="74" spans="1:22" x14ac:dyDescent="0.3">
      <c r="A74">
        <f t="shared" si="1"/>
        <v>73</v>
      </c>
      <c r="B74" t="s">
        <v>158</v>
      </c>
      <c r="C74" s="1">
        <v>45888</v>
      </c>
      <c r="D74" t="s">
        <v>35</v>
      </c>
      <c r="E74" s="6" t="s">
        <v>664</v>
      </c>
      <c r="F74" s="6" t="s">
        <v>63</v>
      </c>
      <c r="G74" s="6" t="s">
        <v>82</v>
      </c>
      <c r="H74" t="s">
        <v>15</v>
      </c>
      <c r="I74" s="6" t="s">
        <v>23</v>
      </c>
      <c r="J74" s="6" t="s">
        <v>32</v>
      </c>
      <c r="K74" s="6" t="s">
        <v>33</v>
      </c>
      <c r="L74" s="6" t="s">
        <v>34</v>
      </c>
      <c r="M74" s="12">
        <v>94</v>
      </c>
      <c r="N74" s="2">
        <v>101.15</v>
      </c>
      <c r="O74" s="4">
        <v>4.1700000000000001E-2</v>
      </c>
      <c r="P74" s="2">
        <v>9508.1</v>
      </c>
      <c r="Q74" s="2">
        <v>1576.3999999999999</v>
      </c>
      <c r="R74" s="2">
        <v>4821.5999999999995</v>
      </c>
      <c r="S74" s="2">
        <v>975.45</v>
      </c>
      <c r="T74" s="2">
        <v>9111.6122300000006</v>
      </c>
      <c r="U74" s="2">
        <v>1738.1622300000015</v>
      </c>
      <c r="V74" s="5">
        <v>0.19076341114222345</v>
      </c>
    </row>
    <row r="75" spans="1:22" x14ac:dyDescent="0.3">
      <c r="A75">
        <f t="shared" si="1"/>
        <v>74</v>
      </c>
      <c r="B75" t="s">
        <v>159</v>
      </c>
      <c r="C75" s="1">
        <v>45828</v>
      </c>
      <c r="D75" t="s">
        <v>58</v>
      </c>
      <c r="E75" s="6" t="s">
        <v>662</v>
      </c>
      <c r="F75" s="6" t="s">
        <v>66</v>
      </c>
      <c r="G75" s="6" t="s">
        <v>64</v>
      </c>
      <c r="H75" t="s">
        <v>15</v>
      </c>
      <c r="I75" s="6" t="s">
        <v>23</v>
      </c>
      <c r="J75" s="6" t="s">
        <v>36</v>
      </c>
      <c r="K75" s="6" t="s">
        <v>48</v>
      </c>
      <c r="L75" s="6" t="s">
        <v>62</v>
      </c>
      <c r="M75" s="12">
        <v>76</v>
      </c>
      <c r="N75" s="2">
        <v>283.84999999999997</v>
      </c>
      <c r="O75" s="4">
        <v>4.3200000000000002E-2</v>
      </c>
      <c r="P75" s="2">
        <v>21572.6</v>
      </c>
      <c r="Q75" s="2">
        <v>4457.6000000000004</v>
      </c>
      <c r="R75" s="2">
        <v>15180.2</v>
      </c>
      <c r="S75" s="2">
        <v>2372.3000000000002</v>
      </c>
      <c r="T75" s="2">
        <v>20640.663679999998</v>
      </c>
      <c r="U75" s="2">
        <v>-1369.4363200000025</v>
      </c>
      <c r="V75" s="5">
        <v>-6.6346525539628512E-2</v>
      </c>
    </row>
    <row r="76" spans="1:22" x14ac:dyDescent="0.3">
      <c r="A76">
        <f t="shared" si="1"/>
        <v>75</v>
      </c>
      <c r="B76" t="s">
        <v>160</v>
      </c>
      <c r="C76" s="1">
        <v>45814</v>
      </c>
      <c r="D76" t="s">
        <v>58</v>
      </c>
      <c r="E76" s="6" t="s">
        <v>662</v>
      </c>
      <c r="F76" s="6" t="s">
        <v>66</v>
      </c>
      <c r="G76" s="6" t="s">
        <v>68</v>
      </c>
      <c r="H76" t="s">
        <v>15</v>
      </c>
      <c r="I76" s="6" t="s">
        <v>16</v>
      </c>
      <c r="J76" s="6" t="s">
        <v>24</v>
      </c>
      <c r="K76" s="6" t="s">
        <v>33</v>
      </c>
      <c r="L76" s="6" t="s">
        <v>78</v>
      </c>
      <c r="M76" s="12">
        <v>64</v>
      </c>
      <c r="N76" s="2">
        <v>96.95</v>
      </c>
      <c r="O76" s="4">
        <v>0.1166</v>
      </c>
      <c r="P76" s="2">
        <v>6204.8</v>
      </c>
      <c r="Q76" s="2">
        <v>872.90000000000009</v>
      </c>
      <c r="R76" s="2">
        <v>2971.5</v>
      </c>
      <c r="S76" s="2">
        <v>368.2</v>
      </c>
      <c r="T76" s="2">
        <v>5481.3203199999998</v>
      </c>
      <c r="U76" s="2">
        <v>1268.7203199999999</v>
      </c>
      <c r="V76" s="5">
        <v>0.23146253930293934</v>
      </c>
    </row>
    <row r="77" spans="1:22" x14ac:dyDescent="0.3">
      <c r="A77">
        <f t="shared" si="1"/>
        <v>76</v>
      </c>
      <c r="B77" t="s">
        <v>161</v>
      </c>
      <c r="C77" s="1">
        <v>45663</v>
      </c>
      <c r="D77" t="s">
        <v>44</v>
      </c>
      <c r="E77" s="6" t="s">
        <v>664</v>
      </c>
      <c r="F77" s="6" t="s">
        <v>63</v>
      </c>
      <c r="G77" s="6" t="s">
        <v>39</v>
      </c>
      <c r="H77" t="s">
        <v>15</v>
      </c>
      <c r="I77" s="6" t="s">
        <v>16</v>
      </c>
      <c r="J77" s="6" t="s">
        <v>32</v>
      </c>
      <c r="K77" s="6" t="s">
        <v>37</v>
      </c>
      <c r="L77" s="6" t="s">
        <v>90</v>
      </c>
      <c r="M77" s="12">
        <v>83</v>
      </c>
      <c r="N77" s="2">
        <v>133</v>
      </c>
      <c r="O77" s="4">
        <v>4.7100000000000003E-2</v>
      </c>
      <c r="P77" s="2">
        <v>11039</v>
      </c>
      <c r="Q77" s="2">
        <v>1052.8</v>
      </c>
      <c r="R77" s="2">
        <v>5462.1</v>
      </c>
      <c r="S77" s="2">
        <v>794.15000000000009</v>
      </c>
      <c r="T77" s="2">
        <v>10519.063099999999</v>
      </c>
      <c r="U77" s="2">
        <v>3210.0130999999992</v>
      </c>
      <c r="V77" s="5">
        <v>0.3051615024535787</v>
      </c>
    </row>
    <row r="78" spans="1:22" x14ac:dyDescent="0.3">
      <c r="A78">
        <f t="shared" si="1"/>
        <v>77</v>
      </c>
      <c r="B78" t="s">
        <v>162</v>
      </c>
      <c r="C78" s="1">
        <v>45962</v>
      </c>
      <c r="D78" t="s">
        <v>67</v>
      </c>
      <c r="E78" s="6" t="s">
        <v>662</v>
      </c>
      <c r="F78" s="6" t="s">
        <v>42</v>
      </c>
      <c r="G78" s="6" t="s">
        <v>69</v>
      </c>
      <c r="H78" t="s">
        <v>15</v>
      </c>
      <c r="I78" s="6" t="s">
        <v>28</v>
      </c>
      <c r="J78" s="6" t="s">
        <v>24</v>
      </c>
      <c r="K78" s="6" t="s">
        <v>37</v>
      </c>
      <c r="L78" s="6" t="s">
        <v>77</v>
      </c>
      <c r="M78" s="12">
        <v>260</v>
      </c>
      <c r="N78" s="2">
        <v>175.35</v>
      </c>
      <c r="O78" s="4">
        <v>0.15620000000000001</v>
      </c>
      <c r="P78" s="2">
        <v>45591</v>
      </c>
      <c r="Q78" s="2">
        <v>3392.55</v>
      </c>
      <c r="R78" s="2">
        <v>20973.4</v>
      </c>
      <c r="S78" s="2">
        <v>2167.2000000000003</v>
      </c>
      <c r="T78" s="2">
        <v>38469.685799999999</v>
      </c>
      <c r="U78" s="2">
        <v>11936.535800000001</v>
      </c>
      <c r="V78" s="5">
        <v>0.31028420304904081</v>
      </c>
    </row>
    <row r="79" spans="1:22" x14ac:dyDescent="0.3">
      <c r="A79">
        <f t="shared" si="1"/>
        <v>78</v>
      </c>
      <c r="B79" t="s">
        <v>163</v>
      </c>
      <c r="C79" s="1">
        <v>45811</v>
      </c>
      <c r="D79" t="s">
        <v>58</v>
      </c>
      <c r="E79" s="6" t="s">
        <v>664</v>
      </c>
      <c r="F79" s="6" t="s">
        <v>63</v>
      </c>
      <c r="G79" s="6" t="s">
        <v>82</v>
      </c>
      <c r="H79" t="s">
        <v>27</v>
      </c>
      <c r="I79" s="6" t="s">
        <v>28</v>
      </c>
      <c r="J79" s="6" t="s">
        <v>17</v>
      </c>
      <c r="K79" s="6" t="s">
        <v>48</v>
      </c>
      <c r="L79" s="6" t="s">
        <v>56</v>
      </c>
      <c r="M79" s="12">
        <v>287</v>
      </c>
      <c r="N79" s="2">
        <v>115.15</v>
      </c>
      <c r="O79" s="4">
        <v>0.1502</v>
      </c>
      <c r="P79" s="2">
        <v>33048.050000000003</v>
      </c>
      <c r="Q79" s="2">
        <v>2848.65</v>
      </c>
      <c r="R79" s="2">
        <v>17229.45</v>
      </c>
      <c r="S79" s="2">
        <v>1659.7</v>
      </c>
      <c r="T79" s="2">
        <v>28084.232890000003</v>
      </c>
      <c r="U79" s="2">
        <v>6346.4328900000019</v>
      </c>
      <c r="V79" s="5">
        <v>0.22597850241655654</v>
      </c>
    </row>
    <row r="80" spans="1:22" x14ac:dyDescent="0.3">
      <c r="A80">
        <f t="shared" si="1"/>
        <v>79</v>
      </c>
      <c r="B80" t="s">
        <v>164</v>
      </c>
      <c r="C80" s="1">
        <v>45660</v>
      </c>
      <c r="D80" t="s">
        <v>44</v>
      </c>
      <c r="E80" s="6" t="s">
        <v>664</v>
      </c>
      <c r="F80" s="6" t="s">
        <v>63</v>
      </c>
      <c r="G80" s="6" t="s">
        <v>22</v>
      </c>
      <c r="H80" t="s">
        <v>27</v>
      </c>
      <c r="I80" s="6" t="s">
        <v>28</v>
      </c>
      <c r="J80" s="6" t="s">
        <v>32</v>
      </c>
      <c r="K80" s="6" t="s">
        <v>33</v>
      </c>
      <c r="L80" s="6" t="s">
        <v>34</v>
      </c>
      <c r="M80" s="12">
        <v>504</v>
      </c>
      <c r="N80" s="2">
        <v>97.65</v>
      </c>
      <c r="O80" s="4">
        <v>0.1152</v>
      </c>
      <c r="P80" s="2">
        <v>49215.600000000006</v>
      </c>
      <c r="Q80" s="2">
        <v>2900.1</v>
      </c>
      <c r="R80" s="2">
        <v>26992.7</v>
      </c>
      <c r="S80" s="2">
        <v>2554.3000000000002</v>
      </c>
      <c r="T80" s="2">
        <v>43545.962880000006</v>
      </c>
      <c r="U80" s="2">
        <v>11098.862880000002</v>
      </c>
      <c r="V80" s="5">
        <v>0.25487696553146011</v>
      </c>
    </row>
    <row r="81" spans="1:22" x14ac:dyDescent="0.3">
      <c r="A81">
        <f t="shared" si="1"/>
        <v>80</v>
      </c>
      <c r="B81" t="s">
        <v>165</v>
      </c>
      <c r="C81" s="1">
        <v>45920</v>
      </c>
      <c r="D81" t="s">
        <v>14</v>
      </c>
      <c r="E81" s="6" t="s">
        <v>662</v>
      </c>
      <c r="F81" s="6" t="s">
        <v>42</v>
      </c>
      <c r="G81" s="6" t="s">
        <v>82</v>
      </c>
      <c r="H81" t="s">
        <v>15</v>
      </c>
      <c r="I81" s="6" t="s">
        <v>16</v>
      </c>
      <c r="J81" s="6" t="s">
        <v>17</v>
      </c>
      <c r="K81" s="6" t="s">
        <v>48</v>
      </c>
      <c r="L81" s="6" t="s">
        <v>49</v>
      </c>
      <c r="M81" s="12">
        <v>50</v>
      </c>
      <c r="N81" s="2">
        <v>106.75</v>
      </c>
      <c r="O81" s="4">
        <v>0.16820000000000002</v>
      </c>
      <c r="P81" s="2">
        <v>5337.5</v>
      </c>
      <c r="Q81" s="2">
        <v>663.94999999999993</v>
      </c>
      <c r="R81" s="2">
        <v>2868.6</v>
      </c>
      <c r="S81" s="2">
        <v>379.4</v>
      </c>
      <c r="T81" s="2">
        <v>4439.7325000000001</v>
      </c>
      <c r="U81" s="2">
        <v>527.78250000000014</v>
      </c>
      <c r="V81" s="5">
        <v>0.11887709450963546</v>
      </c>
    </row>
    <row r="82" spans="1:22" x14ac:dyDescent="0.3">
      <c r="A82">
        <f t="shared" si="1"/>
        <v>81</v>
      </c>
      <c r="B82" t="s">
        <v>166</v>
      </c>
      <c r="C82" s="1">
        <v>45743</v>
      </c>
      <c r="D82" t="s">
        <v>41</v>
      </c>
      <c r="E82" s="6" t="s">
        <v>664</v>
      </c>
      <c r="F82" s="6" t="s">
        <v>63</v>
      </c>
      <c r="G82" s="6" t="s">
        <v>39</v>
      </c>
      <c r="H82" t="s">
        <v>27</v>
      </c>
      <c r="I82" s="6" t="s">
        <v>16</v>
      </c>
      <c r="J82" s="6" t="s">
        <v>52</v>
      </c>
      <c r="K82" s="6" t="s">
        <v>48</v>
      </c>
      <c r="L82" s="6" t="s">
        <v>62</v>
      </c>
      <c r="M82" s="12">
        <v>38</v>
      </c>
      <c r="N82" s="2">
        <v>241.85</v>
      </c>
      <c r="O82" s="4">
        <v>0.1779</v>
      </c>
      <c r="P82" s="2">
        <v>9190.2999999999993</v>
      </c>
      <c r="Q82" s="2">
        <v>1307.5999999999999</v>
      </c>
      <c r="R82" s="2">
        <v>5684.7</v>
      </c>
      <c r="S82" s="2">
        <v>564.9</v>
      </c>
      <c r="T82" s="2">
        <v>7555.3456299999998</v>
      </c>
      <c r="U82" s="2">
        <v>-1.8543699999995624</v>
      </c>
      <c r="V82" s="5">
        <v>-2.4543814284768366E-4</v>
      </c>
    </row>
    <row r="83" spans="1:22" x14ac:dyDescent="0.3">
      <c r="A83">
        <f t="shared" si="1"/>
        <v>82</v>
      </c>
      <c r="B83" t="s">
        <v>167</v>
      </c>
      <c r="C83" s="1">
        <v>45810</v>
      </c>
      <c r="D83" t="s">
        <v>58</v>
      </c>
      <c r="E83" s="6" t="s">
        <v>664</v>
      </c>
      <c r="F83" s="6" t="s">
        <v>63</v>
      </c>
      <c r="G83" s="6" t="s">
        <v>82</v>
      </c>
      <c r="H83" t="s">
        <v>15</v>
      </c>
      <c r="I83" s="6" t="s">
        <v>16</v>
      </c>
      <c r="J83" s="6" t="s">
        <v>32</v>
      </c>
      <c r="K83" s="6" t="s">
        <v>18</v>
      </c>
      <c r="L83" s="6" t="s">
        <v>19</v>
      </c>
      <c r="M83" s="12">
        <v>164</v>
      </c>
      <c r="N83" s="2">
        <v>196.35000000000002</v>
      </c>
      <c r="O83" s="4">
        <v>2.0799999999999999E-2</v>
      </c>
      <c r="P83" s="2">
        <v>32201.400000000005</v>
      </c>
      <c r="Q83" s="2">
        <v>2604</v>
      </c>
      <c r="R83" s="2">
        <v>17854.2</v>
      </c>
      <c r="S83" s="2">
        <v>2464.35</v>
      </c>
      <c r="T83" s="2">
        <v>31531.610880000004</v>
      </c>
      <c r="U83" s="2">
        <v>8609.0608800000045</v>
      </c>
      <c r="V83" s="5">
        <v>0.27302952940664993</v>
      </c>
    </row>
    <row r="84" spans="1:22" x14ac:dyDescent="0.3">
      <c r="A84">
        <f t="shared" si="1"/>
        <v>83</v>
      </c>
      <c r="B84" t="s">
        <v>168</v>
      </c>
      <c r="C84" s="1">
        <v>45943</v>
      </c>
      <c r="D84" t="s">
        <v>20</v>
      </c>
      <c r="E84" s="6" t="s">
        <v>662</v>
      </c>
      <c r="F84" s="6" t="s">
        <v>42</v>
      </c>
      <c r="G84" s="6" t="s">
        <v>64</v>
      </c>
      <c r="H84" t="s">
        <v>27</v>
      </c>
      <c r="I84" s="6" t="s">
        <v>16</v>
      </c>
      <c r="J84" s="6" t="s">
        <v>84</v>
      </c>
      <c r="K84" s="6" t="s">
        <v>46</v>
      </c>
      <c r="L84" s="6" t="s">
        <v>83</v>
      </c>
      <c r="M84" s="12">
        <v>149</v>
      </c>
      <c r="N84" s="2">
        <v>149.44999999999999</v>
      </c>
      <c r="O84" s="4">
        <v>0.14130000000000001</v>
      </c>
      <c r="P84" s="2">
        <v>22268.05</v>
      </c>
      <c r="Q84" s="2">
        <v>3418.4500000000003</v>
      </c>
      <c r="R84" s="2">
        <v>10417.75</v>
      </c>
      <c r="S84" s="2">
        <v>1724.8</v>
      </c>
      <c r="T84" s="2">
        <v>19121.574535</v>
      </c>
      <c r="U84" s="2">
        <v>3560.5745350000002</v>
      </c>
      <c r="V84" s="5">
        <v>0.18620718333015668</v>
      </c>
    </row>
    <row r="85" spans="1:22" x14ac:dyDescent="0.3">
      <c r="A85">
        <f t="shared" si="1"/>
        <v>84</v>
      </c>
      <c r="B85" t="s">
        <v>169</v>
      </c>
      <c r="C85" s="1">
        <v>45665</v>
      </c>
      <c r="D85" t="s">
        <v>44</v>
      </c>
      <c r="E85" s="6" t="s">
        <v>663</v>
      </c>
      <c r="F85" s="6" t="s">
        <v>21</v>
      </c>
      <c r="G85" s="6" t="s">
        <v>69</v>
      </c>
      <c r="H85" t="s">
        <v>27</v>
      </c>
      <c r="I85" s="6" t="s">
        <v>31</v>
      </c>
      <c r="J85" s="6" t="s">
        <v>52</v>
      </c>
      <c r="K85" s="6" t="s">
        <v>37</v>
      </c>
      <c r="L85" s="6" t="s">
        <v>90</v>
      </c>
      <c r="M85" s="12">
        <v>811</v>
      </c>
      <c r="N85" s="2">
        <v>138.95000000000002</v>
      </c>
      <c r="O85" s="4">
        <v>0.28000000000000003</v>
      </c>
      <c r="P85" s="2">
        <v>112688.45000000001</v>
      </c>
      <c r="Q85" s="2">
        <v>8804.25</v>
      </c>
      <c r="R85" s="2">
        <v>44321.549999999996</v>
      </c>
      <c r="S85" s="2">
        <v>3390.7999999999997</v>
      </c>
      <c r="T85" s="2">
        <v>81135.684000000008</v>
      </c>
      <c r="U85" s="2">
        <v>24619.08400000001</v>
      </c>
      <c r="V85" s="5">
        <v>0.30343102795559113</v>
      </c>
    </row>
    <row r="86" spans="1:22" x14ac:dyDescent="0.3">
      <c r="A86">
        <f t="shared" si="1"/>
        <v>85</v>
      </c>
      <c r="B86" t="s">
        <v>170</v>
      </c>
      <c r="C86" s="1">
        <v>45832</v>
      </c>
      <c r="D86" t="s">
        <v>58</v>
      </c>
      <c r="E86" s="6" t="s">
        <v>662</v>
      </c>
      <c r="F86" s="6" t="s">
        <v>42</v>
      </c>
      <c r="G86" s="6" t="s">
        <v>64</v>
      </c>
      <c r="H86" t="s">
        <v>27</v>
      </c>
      <c r="I86" s="6" t="s">
        <v>16</v>
      </c>
      <c r="J86" s="6" t="s">
        <v>36</v>
      </c>
      <c r="K86" s="6" t="s">
        <v>18</v>
      </c>
      <c r="L86" s="6" t="s">
        <v>59</v>
      </c>
      <c r="M86" s="12">
        <v>165</v>
      </c>
      <c r="N86" s="2">
        <v>212.1</v>
      </c>
      <c r="O86" s="4">
        <v>0.1419</v>
      </c>
      <c r="P86" s="2">
        <v>34996.5</v>
      </c>
      <c r="Q86" s="2">
        <v>2637.9500000000003</v>
      </c>
      <c r="R86" s="2">
        <v>18479.650000000001</v>
      </c>
      <c r="S86" s="2">
        <v>1913.45</v>
      </c>
      <c r="T86" s="2">
        <v>30030.496649999997</v>
      </c>
      <c r="U86" s="2">
        <v>6999.4466499999944</v>
      </c>
      <c r="V86" s="5">
        <v>0.23307795177606544</v>
      </c>
    </row>
    <row r="87" spans="1:22" x14ac:dyDescent="0.3">
      <c r="A87">
        <f t="shared" si="1"/>
        <v>86</v>
      </c>
      <c r="B87" t="s">
        <v>171</v>
      </c>
      <c r="C87" s="1">
        <v>45745</v>
      </c>
      <c r="D87" t="s">
        <v>41</v>
      </c>
      <c r="E87" s="6" t="s">
        <v>664</v>
      </c>
      <c r="F87" s="6" t="s">
        <v>63</v>
      </c>
      <c r="G87" s="6" t="s">
        <v>43</v>
      </c>
      <c r="H87" t="s">
        <v>15</v>
      </c>
      <c r="I87" s="6" t="s">
        <v>23</v>
      </c>
      <c r="J87" s="6" t="s">
        <v>24</v>
      </c>
      <c r="K87" s="6" t="s">
        <v>33</v>
      </c>
      <c r="L87" s="6" t="s">
        <v>78</v>
      </c>
      <c r="M87" s="12">
        <v>86</v>
      </c>
      <c r="N87" s="2">
        <v>96.25</v>
      </c>
      <c r="O87" s="4">
        <v>0.122</v>
      </c>
      <c r="P87" s="2">
        <v>8277.5</v>
      </c>
      <c r="Q87" s="2">
        <v>1400</v>
      </c>
      <c r="R87" s="2">
        <v>4106.2</v>
      </c>
      <c r="S87" s="2">
        <v>767.90000000000009</v>
      </c>
      <c r="T87" s="2">
        <v>7267.6450000000004</v>
      </c>
      <c r="U87" s="2">
        <v>993.54500000000098</v>
      </c>
      <c r="V87" s="5">
        <v>0.13670797073880203</v>
      </c>
    </row>
    <row r="88" spans="1:22" x14ac:dyDescent="0.3">
      <c r="A88">
        <f t="shared" si="1"/>
        <v>87</v>
      </c>
      <c r="B88" t="s">
        <v>172</v>
      </c>
      <c r="C88" s="1">
        <v>45717</v>
      </c>
      <c r="D88" t="s">
        <v>41</v>
      </c>
      <c r="E88" s="6" t="s">
        <v>664</v>
      </c>
      <c r="F88" s="6" t="s">
        <v>63</v>
      </c>
      <c r="G88" s="6" t="s">
        <v>39</v>
      </c>
      <c r="H88" t="s">
        <v>15</v>
      </c>
      <c r="I88" s="6" t="s">
        <v>23</v>
      </c>
      <c r="J88" s="6" t="s">
        <v>52</v>
      </c>
      <c r="K88" s="6" t="s">
        <v>48</v>
      </c>
      <c r="L88" s="6" t="s">
        <v>62</v>
      </c>
      <c r="M88" s="12">
        <v>83</v>
      </c>
      <c r="N88" s="2">
        <v>249.20000000000002</v>
      </c>
      <c r="O88" s="4">
        <v>0.1143</v>
      </c>
      <c r="P88" s="2">
        <v>20683.600000000002</v>
      </c>
      <c r="Q88" s="2">
        <v>4050.55</v>
      </c>
      <c r="R88" s="2">
        <v>13593.3</v>
      </c>
      <c r="S88" s="2">
        <v>1830.8500000000001</v>
      </c>
      <c r="T88" s="2">
        <v>18319.464520000001</v>
      </c>
      <c r="U88" s="2">
        <v>-1155.2354799999966</v>
      </c>
      <c r="V88" s="5">
        <v>-6.3060548453192269E-2</v>
      </c>
    </row>
    <row r="89" spans="1:22" x14ac:dyDescent="0.3">
      <c r="A89">
        <f t="shared" si="1"/>
        <v>88</v>
      </c>
      <c r="B89" t="s">
        <v>173</v>
      </c>
      <c r="C89" s="1">
        <v>46010</v>
      </c>
      <c r="D89" t="s">
        <v>50</v>
      </c>
      <c r="E89" s="6" t="s">
        <v>664</v>
      </c>
      <c r="F89" s="6" t="s">
        <v>63</v>
      </c>
      <c r="G89" s="6" t="s">
        <v>65</v>
      </c>
      <c r="H89" t="s">
        <v>15</v>
      </c>
      <c r="I89" s="6" t="s">
        <v>23</v>
      </c>
      <c r="J89" s="6" t="s">
        <v>24</v>
      </c>
      <c r="K89" s="6" t="s">
        <v>37</v>
      </c>
      <c r="L89" s="6" t="s">
        <v>38</v>
      </c>
      <c r="M89" s="12">
        <v>65</v>
      </c>
      <c r="N89" s="2">
        <v>85.75</v>
      </c>
      <c r="O89" s="4">
        <v>0.14460000000000001</v>
      </c>
      <c r="P89" s="2">
        <v>5573.75</v>
      </c>
      <c r="Q89" s="2">
        <v>819</v>
      </c>
      <c r="R89" s="2">
        <v>2431.4499999999998</v>
      </c>
      <c r="S89" s="2">
        <v>452.2</v>
      </c>
      <c r="T89" s="2">
        <v>4767.78575</v>
      </c>
      <c r="U89" s="2">
        <v>1065.1357500000004</v>
      </c>
      <c r="V89" s="5">
        <v>0.22340260360902342</v>
      </c>
    </row>
    <row r="90" spans="1:22" x14ac:dyDescent="0.3">
      <c r="A90">
        <f t="shared" si="1"/>
        <v>89</v>
      </c>
      <c r="B90" t="s">
        <v>174</v>
      </c>
      <c r="C90" s="1">
        <v>45919</v>
      </c>
      <c r="D90" t="s">
        <v>14</v>
      </c>
      <c r="E90" s="6" t="s">
        <v>663</v>
      </c>
      <c r="F90" s="6" t="s">
        <v>21</v>
      </c>
      <c r="G90" s="6" t="s">
        <v>69</v>
      </c>
      <c r="H90" t="s">
        <v>27</v>
      </c>
      <c r="I90" s="6" t="s">
        <v>28</v>
      </c>
      <c r="J90" s="6" t="s">
        <v>17</v>
      </c>
      <c r="K90" s="6" t="s">
        <v>48</v>
      </c>
      <c r="L90" s="6" t="s">
        <v>62</v>
      </c>
      <c r="M90" s="12">
        <v>471</v>
      </c>
      <c r="N90" s="2">
        <v>246.05</v>
      </c>
      <c r="O90" s="4">
        <v>0.1638</v>
      </c>
      <c r="P90" s="2">
        <v>115889.55</v>
      </c>
      <c r="Q90" s="2">
        <v>11248.65</v>
      </c>
      <c r="R90" s="2">
        <v>72251.55</v>
      </c>
      <c r="S90" s="2">
        <v>5671.75</v>
      </c>
      <c r="T90" s="2">
        <v>96906.841710000008</v>
      </c>
      <c r="U90" s="2">
        <v>7734.8917100000053</v>
      </c>
      <c r="V90" s="5">
        <v>7.9817808252869993E-2</v>
      </c>
    </row>
    <row r="91" spans="1:22" x14ac:dyDescent="0.3">
      <c r="A91">
        <f t="shared" si="1"/>
        <v>90</v>
      </c>
      <c r="B91" t="s">
        <v>175</v>
      </c>
      <c r="C91" s="1">
        <v>45780</v>
      </c>
      <c r="D91" t="s">
        <v>30</v>
      </c>
      <c r="E91" s="6" t="s">
        <v>663</v>
      </c>
      <c r="F91" s="6" t="s">
        <v>21</v>
      </c>
      <c r="G91" s="6" t="s">
        <v>43</v>
      </c>
      <c r="H91" t="s">
        <v>15</v>
      </c>
      <c r="I91" s="6" t="s">
        <v>23</v>
      </c>
      <c r="J91" s="6" t="s">
        <v>17</v>
      </c>
      <c r="K91" s="6" t="s">
        <v>46</v>
      </c>
      <c r="L91" s="6" t="s">
        <v>83</v>
      </c>
      <c r="M91" s="12">
        <v>33</v>
      </c>
      <c r="N91" s="2">
        <v>133</v>
      </c>
      <c r="O91" s="4">
        <v>0.11449999999999999</v>
      </c>
      <c r="P91" s="2">
        <v>4389</v>
      </c>
      <c r="Q91" s="2">
        <v>544.6</v>
      </c>
      <c r="R91" s="2">
        <v>2143.75</v>
      </c>
      <c r="S91" s="2">
        <v>387.1</v>
      </c>
      <c r="T91" s="2">
        <v>3886.4594999999999</v>
      </c>
      <c r="U91" s="2">
        <v>811.0095</v>
      </c>
      <c r="V91" s="5">
        <v>0.20867565968460497</v>
      </c>
    </row>
    <row r="92" spans="1:22" x14ac:dyDescent="0.3">
      <c r="A92">
        <f t="shared" si="1"/>
        <v>91</v>
      </c>
      <c r="B92" t="s">
        <v>176</v>
      </c>
      <c r="C92" s="1">
        <v>45739</v>
      </c>
      <c r="D92" t="s">
        <v>41</v>
      </c>
      <c r="E92" s="6" t="s">
        <v>662</v>
      </c>
      <c r="F92" s="6" t="s">
        <v>66</v>
      </c>
      <c r="G92" s="6" t="s">
        <v>39</v>
      </c>
      <c r="H92" t="s">
        <v>27</v>
      </c>
      <c r="I92" s="6" t="s">
        <v>16</v>
      </c>
      <c r="J92" s="6" t="s">
        <v>17</v>
      </c>
      <c r="K92" s="6" t="s">
        <v>18</v>
      </c>
      <c r="L92" s="6" t="s">
        <v>29</v>
      </c>
      <c r="M92" s="12">
        <v>33</v>
      </c>
      <c r="N92" s="2">
        <v>163.1</v>
      </c>
      <c r="O92" s="4">
        <v>0.1812</v>
      </c>
      <c r="P92" s="2">
        <v>5382.3</v>
      </c>
      <c r="Q92" s="2">
        <v>602.35</v>
      </c>
      <c r="R92" s="2">
        <v>2473.4500000000003</v>
      </c>
      <c r="S92" s="2">
        <v>298.89999999999998</v>
      </c>
      <c r="T92" s="2">
        <v>4407.0272400000003</v>
      </c>
      <c r="U92" s="2">
        <v>1032.3272400000005</v>
      </c>
      <c r="V92" s="5">
        <v>0.23424571344378631</v>
      </c>
    </row>
    <row r="93" spans="1:22" x14ac:dyDescent="0.3">
      <c r="A93">
        <f t="shared" si="1"/>
        <v>92</v>
      </c>
      <c r="B93" t="s">
        <v>177</v>
      </c>
      <c r="C93" s="1">
        <v>45791</v>
      </c>
      <c r="D93" t="s">
        <v>30</v>
      </c>
      <c r="E93" s="6" t="s">
        <v>664</v>
      </c>
      <c r="F93" s="6" t="s">
        <v>63</v>
      </c>
      <c r="G93" s="6" t="s">
        <v>68</v>
      </c>
      <c r="H93" t="s">
        <v>27</v>
      </c>
      <c r="I93" s="6" t="s">
        <v>28</v>
      </c>
      <c r="J93" s="6" t="s">
        <v>84</v>
      </c>
      <c r="K93" s="6" t="s">
        <v>33</v>
      </c>
      <c r="L93" s="6" t="s">
        <v>34</v>
      </c>
      <c r="M93" s="12">
        <v>701</v>
      </c>
      <c r="N93" s="2">
        <v>104.65</v>
      </c>
      <c r="O93" s="4">
        <v>0.19339999999999999</v>
      </c>
      <c r="P93" s="2">
        <v>73359.650000000009</v>
      </c>
      <c r="Q93" s="2">
        <v>8613.5</v>
      </c>
      <c r="R93" s="2">
        <v>36258.950000000004</v>
      </c>
      <c r="S93" s="2">
        <v>3020.85</v>
      </c>
      <c r="T93" s="2">
        <v>59171.893690000004</v>
      </c>
      <c r="U93" s="2">
        <v>11278.593690000002</v>
      </c>
      <c r="V93" s="5">
        <v>0.19060727968397054</v>
      </c>
    </row>
    <row r="94" spans="1:22" x14ac:dyDescent="0.3">
      <c r="A94">
        <f t="shared" si="1"/>
        <v>93</v>
      </c>
      <c r="B94" t="s">
        <v>178</v>
      </c>
      <c r="C94" s="1">
        <v>45802</v>
      </c>
      <c r="D94" t="s">
        <v>30</v>
      </c>
      <c r="E94" s="6" t="s">
        <v>662</v>
      </c>
      <c r="F94" s="6" t="s">
        <v>66</v>
      </c>
      <c r="G94" s="6" t="s">
        <v>82</v>
      </c>
      <c r="H94" t="s">
        <v>27</v>
      </c>
      <c r="I94" s="6" t="s">
        <v>28</v>
      </c>
      <c r="J94" s="6" t="s">
        <v>36</v>
      </c>
      <c r="K94" s="6" t="s">
        <v>46</v>
      </c>
      <c r="L94" s="6" t="s">
        <v>83</v>
      </c>
      <c r="M94" s="12">
        <v>371</v>
      </c>
      <c r="N94" s="2">
        <v>134.75</v>
      </c>
      <c r="O94" s="4">
        <v>0.21309999999999998</v>
      </c>
      <c r="P94" s="2">
        <v>49992.25</v>
      </c>
      <c r="Q94" s="2">
        <v>3691.45</v>
      </c>
      <c r="R94" s="2">
        <v>23586.5</v>
      </c>
      <c r="S94" s="2">
        <v>2361.4499999999998</v>
      </c>
      <c r="T94" s="2">
        <v>39338.901525000001</v>
      </c>
      <c r="U94" s="2">
        <v>9699.5015250000033</v>
      </c>
      <c r="V94" s="5">
        <v>0.24656259196347763</v>
      </c>
    </row>
    <row r="95" spans="1:22" x14ac:dyDescent="0.3">
      <c r="A95">
        <f t="shared" si="1"/>
        <v>94</v>
      </c>
      <c r="B95" t="s">
        <v>179</v>
      </c>
      <c r="C95" s="1">
        <v>45897</v>
      </c>
      <c r="D95" t="s">
        <v>35</v>
      </c>
      <c r="E95" s="6" t="s">
        <v>662</v>
      </c>
      <c r="F95" s="6" t="s">
        <v>42</v>
      </c>
      <c r="G95" s="6" t="s">
        <v>22</v>
      </c>
      <c r="H95" t="s">
        <v>27</v>
      </c>
      <c r="I95" s="6" t="s">
        <v>31</v>
      </c>
      <c r="J95" s="6" t="s">
        <v>45</v>
      </c>
      <c r="K95" s="6" t="s">
        <v>18</v>
      </c>
      <c r="L95" s="6" t="s">
        <v>29</v>
      </c>
      <c r="M95" s="12">
        <v>739</v>
      </c>
      <c r="N95" s="2">
        <v>149.1</v>
      </c>
      <c r="O95" s="4">
        <v>0.28000000000000003</v>
      </c>
      <c r="P95" s="2">
        <v>110184.9</v>
      </c>
      <c r="Q95" s="2">
        <v>7417.2</v>
      </c>
      <c r="R95" s="2">
        <v>48820.45</v>
      </c>
      <c r="S95" s="2">
        <v>3430.7</v>
      </c>
      <c r="T95" s="2">
        <v>79333.127999999997</v>
      </c>
      <c r="U95" s="2">
        <v>19664.778000000002</v>
      </c>
      <c r="V95" s="5">
        <v>0.24787599450257405</v>
      </c>
    </row>
    <row r="96" spans="1:22" x14ac:dyDescent="0.3">
      <c r="A96">
        <f t="shared" si="1"/>
        <v>95</v>
      </c>
      <c r="B96" t="s">
        <v>180</v>
      </c>
      <c r="C96" s="1">
        <v>45963</v>
      </c>
      <c r="D96" t="s">
        <v>67</v>
      </c>
      <c r="E96" s="6" t="s">
        <v>663</v>
      </c>
      <c r="F96" s="6" t="s">
        <v>21</v>
      </c>
      <c r="G96" s="6" t="s">
        <v>65</v>
      </c>
      <c r="H96" t="s">
        <v>15</v>
      </c>
      <c r="I96" s="6" t="s">
        <v>23</v>
      </c>
      <c r="J96" s="6" t="s">
        <v>17</v>
      </c>
      <c r="K96" s="6" t="s">
        <v>48</v>
      </c>
      <c r="L96" s="6" t="s">
        <v>56</v>
      </c>
      <c r="M96" s="12">
        <v>116</v>
      </c>
      <c r="N96" s="2">
        <v>129.85</v>
      </c>
      <c r="O96" s="4">
        <v>0.1323</v>
      </c>
      <c r="P96" s="2">
        <v>15062.599999999999</v>
      </c>
      <c r="Q96" s="2">
        <v>2292.8500000000004</v>
      </c>
      <c r="R96" s="2">
        <v>7801.8499999999995</v>
      </c>
      <c r="S96" s="2">
        <v>1353.45</v>
      </c>
      <c r="T96" s="2">
        <v>13069.818019999999</v>
      </c>
      <c r="U96" s="2">
        <v>1621.6680199999983</v>
      </c>
      <c r="V96" s="5">
        <v>0.12407732208041856</v>
      </c>
    </row>
    <row r="97" spans="1:22" x14ac:dyDescent="0.3">
      <c r="A97">
        <f t="shared" si="1"/>
        <v>96</v>
      </c>
      <c r="B97" t="s">
        <v>181</v>
      </c>
      <c r="C97" s="1">
        <v>45674</v>
      </c>
      <c r="D97" t="s">
        <v>44</v>
      </c>
      <c r="E97" s="6" t="s">
        <v>663</v>
      </c>
      <c r="F97" s="6" t="s">
        <v>21</v>
      </c>
      <c r="G97" s="6" t="s">
        <v>43</v>
      </c>
      <c r="H97" t="s">
        <v>15</v>
      </c>
      <c r="I97" s="6" t="s">
        <v>23</v>
      </c>
      <c r="J97" s="6" t="s">
        <v>24</v>
      </c>
      <c r="K97" s="6" t="s">
        <v>33</v>
      </c>
      <c r="L97" s="6" t="s">
        <v>78</v>
      </c>
      <c r="M97" s="12">
        <v>41</v>
      </c>
      <c r="N97" s="2">
        <v>92.75</v>
      </c>
      <c r="O97" s="4">
        <v>0.14169999999999999</v>
      </c>
      <c r="P97" s="2">
        <v>3802.75</v>
      </c>
      <c r="Q97" s="2">
        <v>571.54999999999995</v>
      </c>
      <c r="R97" s="2">
        <v>2040.8500000000001</v>
      </c>
      <c r="S97" s="2">
        <v>301.34999999999997</v>
      </c>
      <c r="T97" s="2">
        <v>3263.9003250000001</v>
      </c>
      <c r="U97" s="2">
        <v>350.15032500000007</v>
      </c>
      <c r="V97" s="5">
        <v>0.10727972368457669</v>
      </c>
    </row>
    <row r="98" spans="1:22" x14ac:dyDescent="0.3">
      <c r="A98">
        <f t="shared" si="1"/>
        <v>97</v>
      </c>
      <c r="B98" t="s">
        <v>182</v>
      </c>
      <c r="C98" s="1">
        <v>45837</v>
      </c>
      <c r="D98" t="s">
        <v>58</v>
      </c>
      <c r="E98" s="6" t="s">
        <v>662</v>
      </c>
      <c r="F98" s="6" t="s">
        <v>42</v>
      </c>
      <c r="G98" s="6" t="s">
        <v>43</v>
      </c>
      <c r="H98" t="s">
        <v>27</v>
      </c>
      <c r="I98" s="6" t="s">
        <v>28</v>
      </c>
      <c r="J98" s="6" t="s">
        <v>24</v>
      </c>
      <c r="K98" s="6" t="s">
        <v>37</v>
      </c>
      <c r="L98" s="6" t="s">
        <v>75</v>
      </c>
      <c r="M98" s="12">
        <v>439</v>
      </c>
      <c r="N98" s="2">
        <v>127.4</v>
      </c>
      <c r="O98" s="4">
        <v>0.24350000000000002</v>
      </c>
      <c r="P98" s="2">
        <v>55928.600000000006</v>
      </c>
      <c r="Q98" s="2">
        <v>4425.75</v>
      </c>
      <c r="R98" s="2">
        <v>21150.85</v>
      </c>
      <c r="S98" s="2">
        <v>2221.4499999999998</v>
      </c>
      <c r="T98" s="2">
        <v>42309.9859</v>
      </c>
      <c r="U98" s="2">
        <v>14511.935900000004</v>
      </c>
      <c r="V98" s="5">
        <v>0.34299079972040369</v>
      </c>
    </row>
    <row r="99" spans="1:22" x14ac:dyDescent="0.3">
      <c r="A99">
        <f t="shared" si="1"/>
        <v>98</v>
      </c>
      <c r="B99" t="s">
        <v>183</v>
      </c>
      <c r="C99" s="1">
        <v>45704</v>
      </c>
      <c r="D99" t="s">
        <v>55</v>
      </c>
      <c r="E99" s="6" t="s">
        <v>662</v>
      </c>
      <c r="F99" s="6" t="s">
        <v>42</v>
      </c>
      <c r="G99" s="6" t="s">
        <v>82</v>
      </c>
      <c r="H99" t="s">
        <v>27</v>
      </c>
      <c r="I99" s="6" t="s">
        <v>16</v>
      </c>
      <c r="J99" s="6" t="s">
        <v>52</v>
      </c>
      <c r="K99" s="6" t="s">
        <v>37</v>
      </c>
      <c r="L99" s="6" t="s">
        <v>72</v>
      </c>
      <c r="M99" s="12">
        <v>233</v>
      </c>
      <c r="N99" s="2">
        <v>59.5</v>
      </c>
      <c r="O99" s="4">
        <v>0.18729999999999999</v>
      </c>
      <c r="P99" s="2">
        <v>13863.5</v>
      </c>
      <c r="Q99" s="2">
        <v>1523.2</v>
      </c>
      <c r="R99" s="2">
        <v>6178.55</v>
      </c>
      <c r="S99" s="2">
        <v>707</v>
      </c>
      <c r="T99" s="2">
        <v>11266.86645</v>
      </c>
      <c r="U99" s="2">
        <v>2858.1164499999995</v>
      </c>
      <c r="V99" s="5">
        <v>0.25367447663320797</v>
      </c>
    </row>
    <row r="100" spans="1:22" x14ac:dyDescent="0.3">
      <c r="A100">
        <f t="shared" si="1"/>
        <v>99</v>
      </c>
      <c r="B100" t="s">
        <v>184</v>
      </c>
      <c r="C100" s="1">
        <v>45811</v>
      </c>
      <c r="D100" t="s">
        <v>58</v>
      </c>
      <c r="E100" s="6" t="s">
        <v>662</v>
      </c>
      <c r="F100" s="6" t="s">
        <v>66</v>
      </c>
      <c r="G100" s="6" t="s">
        <v>64</v>
      </c>
      <c r="H100" t="s">
        <v>27</v>
      </c>
      <c r="I100" s="6" t="s">
        <v>28</v>
      </c>
      <c r="J100" s="6" t="s">
        <v>84</v>
      </c>
      <c r="K100" s="6" t="s">
        <v>46</v>
      </c>
      <c r="L100" s="6" t="s">
        <v>51</v>
      </c>
      <c r="M100" s="12">
        <v>256</v>
      </c>
      <c r="N100" s="2">
        <v>140.69999999999999</v>
      </c>
      <c r="O100" s="4">
        <v>0.1759</v>
      </c>
      <c r="P100" s="2">
        <v>36019.199999999997</v>
      </c>
      <c r="Q100" s="2">
        <v>3885</v>
      </c>
      <c r="R100" s="2">
        <v>15195.25</v>
      </c>
      <c r="S100" s="2">
        <v>1994.65</v>
      </c>
      <c r="T100" s="2">
        <v>29683.422719999999</v>
      </c>
      <c r="U100" s="2">
        <v>8608.5227199999972</v>
      </c>
      <c r="V100" s="5">
        <v>0.29001112173630084</v>
      </c>
    </row>
    <row r="101" spans="1:22" x14ac:dyDescent="0.3">
      <c r="A101">
        <f t="shared" si="1"/>
        <v>100</v>
      </c>
      <c r="B101" t="s">
        <v>185</v>
      </c>
      <c r="C101" s="1">
        <v>45808</v>
      </c>
      <c r="D101" t="s">
        <v>30</v>
      </c>
      <c r="E101" s="6" t="s">
        <v>663</v>
      </c>
      <c r="F101" s="6" t="s">
        <v>21</v>
      </c>
      <c r="G101" s="6" t="s">
        <v>39</v>
      </c>
      <c r="H101" t="s">
        <v>27</v>
      </c>
      <c r="I101" s="6" t="s">
        <v>16</v>
      </c>
      <c r="J101" s="6" t="s">
        <v>24</v>
      </c>
      <c r="K101" s="6" t="s">
        <v>46</v>
      </c>
      <c r="L101" s="6" t="s">
        <v>81</v>
      </c>
      <c r="M101" s="12">
        <v>80</v>
      </c>
      <c r="N101" s="2">
        <v>144.89999999999998</v>
      </c>
      <c r="O101" s="4">
        <v>0.19320000000000001</v>
      </c>
      <c r="P101" s="2">
        <v>11591.999999999998</v>
      </c>
      <c r="Q101" s="2">
        <v>1038.0999999999999</v>
      </c>
      <c r="R101" s="2">
        <v>5476.45</v>
      </c>
      <c r="S101" s="2">
        <v>850.15</v>
      </c>
      <c r="T101" s="2">
        <v>9352.4255999999987</v>
      </c>
      <c r="U101" s="2">
        <v>1987.7255999999993</v>
      </c>
      <c r="V101" s="5">
        <v>0.21253583669246184</v>
      </c>
    </row>
    <row r="102" spans="1:22" x14ac:dyDescent="0.3">
      <c r="A102">
        <f t="shared" si="1"/>
        <v>101</v>
      </c>
      <c r="B102" t="s">
        <v>186</v>
      </c>
      <c r="C102" s="1">
        <v>45860</v>
      </c>
      <c r="D102" t="s">
        <v>26</v>
      </c>
      <c r="E102" s="6" t="s">
        <v>664</v>
      </c>
      <c r="F102" s="6" t="s">
        <v>63</v>
      </c>
      <c r="G102" s="6" t="s">
        <v>64</v>
      </c>
      <c r="H102" t="s">
        <v>15</v>
      </c>
      <c r="I102" s="6" t="s">
        <v>23</v>
      </c>
      <c r="J102" s="6" t="s">
        <v>84</v>
      </c>
      <c r="K102" s="6" t="s">
        <v>33</v>
      </c>
      <c r="L102" s="6" t="s">
        <v>70</v>
      </c>
      <c r="M102" s="12">
        <v>28</v>
      </c>
      <c r="N102" s="2">
        <v>107.10000000000001</v>
      </c>
      <c r="O102" s="4">
        <v>8.5999999999999993E-2</v>
      </c>
      <c r="P102" s="2">
        <v>2998.8</v>
      </c>
      <c r="Q102" s="2">
        <v>496.3</v>
      </c>
      <c r="R102" s="2">
        <v>1598.1</v>
      </c>
      <c r="S102" s="2">
        <v>276.85000000000002</v>
      </c>
      <c r="T102" s="2">
        <v>2740.9032000000002</v>
      </c>
      <c r="U102" s="2">
        <v>369.65320000000037</v>
      </c>
      <c r="V102" s="5">
        <v>0.1348654706229685</v>
      </c>
    </row>
    <row r="103" spans="1:22" x14ac:dyDescent="0.3">
      <c r="A103">
        <f t="shared" si="1"/>
        <v>102</v>
      </c>
      <c r="B103" t="s">
        <v>187</v>
      </c>
      <c r="C103" s="1">
        <v>45729</v>
      </c>
      <c r="D103" t="s">
        <v>41</v>
      </c>
      <c r="E103" s="6" t="s">
        <v>662</v>
      </c>
      <c r="F103" s="6" t="s">
        <v>66</v>
      </c>
      <c r="G103" s="6" t="s">
        <v>82</v>
      </c>
      <c r="H103" t="s">
        <v>15</v>
      </c>
      <c r="I103" s="6" t="s">
        <v>16</v>
      </c>
      <c r="J103" s="6" t="s">
        <v>32</v>
      </c>
      <c r="K103" s="6" t="s">
        <v>46</v>
      </c>
      <c r="L103" s="6" t="s">
        <v>81</v>
      </c>
      <c r="M103" s="12">
        <v>19</v>
      </c>
      <c r="N103" s="2">
        <v>156.1</v>
      </c>
      <c r="O103" s="4">
        <v>6.0400000000000002E-2</v>
      </c>
      <c r="P103" s="2">
        <v>2965.9</v>
      </c>
      <c r="Q103" s="2">
        <v>748.65</v>
      </c>
      <c r="R103" s="2">
        <v>1436.3999999999999</v>
      </c>
      <c r="S103" s="2">
        <v>222.25</v>
      </c>
      <c r="T103" s="2">
        <v>2786.7596400000002</v>
      </c>
      <c r="U103" s="2">
        <v>379.45964000000038</v>
      </c>
      <c r="V103" s="5">
        <v>0.13616518430703278</v>
      </c>
    </row>
    <row r="104" spans="1:22" x14ac:dyDescent="0.3">
      <c r="A104">
        <f t="shared" si="1"/>
        <v>103</v>
      </c>
      <c r="B104" t="s">
        <v>188</v>
      </c>
      <c r="C104" s="1">
        <v>45786</v>
      </c>
      <c r="D104" t="s">
        <v>30</v>
      </c>
      <c r="E104" s="6" t="s">
        <v>662</v>
      </c>
      <c r="F104" s="6" t="s">
        <v>66</v>
      </c>
      <c r="G104" s="6" t="s">
        <v>39</v>
      </c>
      <c r="H104" t="s">
        <v>27</v>
      </c>
      <c r="I104" s="6" t="s">
        <v>16</v>
      </c>
      <c r="J104" s="6" t="s">
        <v>17</v>
      </c>
      <c r="K104" s="6" t="s">
        <v>33</v>
      </c>
      <c r="L104" s="6" t="s">
        <v>73</v>
      </c>
      <c r="M104" s="12">
        <v>146</v>
      </c>
      <c r="N104" s="2">
        <v>142.45000000000002</v>
      </c>
      <c r="O104" s="4">
        <v>0.12429999999999999</v>
      </c>
      <c r="P104" s="2">
        <v>20797.7</v>
      </c>
      <c r="Q104" s="2">
        <v>2380</v>
      </c>
      <c r="R104" s="2">
        <v>10786.300000000001</v>
      </c>
      <c r="S104" s="2">
        <v>1340.1499999999999</v>
      </c>
      <c r="T104" s="2">
        <v>18212.545890000001</v>
      </c>
      <c r="U104" s="2">
        <v>3706.0958899999987</v>
      </c>
      <c r="V104" s="5">
        <v>0.20349136866334058</v>
      </c>
    </row>
    <row r="105" spans="1:22" x14ac:dyDescent="0.3">
      <c r="A105">
        <f t="shared" si="1"/>
        <v>104</v>
      </c>
      <c r="B105" t="s">
        <v>189</v>
      </c>
      <c r="C105" s="1">
        <v>45738</v>
      </c>
      <c r="D105" t="s">
        <v>41</v>
      </c>
      <c r="E105" s="6" t="s">
        <v>662</v>
      </c>
      <c r="F105" s="6" t="s">
        <v>42</v>
      </c>
      <c r="G105" s="6" t="s">
        <v>39</v>
      </c>
      <c r="H105" t="s">
        <v>27</v>
      </c>
      <c r="I105" s="6" t="s">
        <v>28</v>
      </c>
      <c r="J105" s="6" t="s">
        <v>24</v>
      </c>
      <c r="K105" s="6" t="s">
        <v>46</v>
      </c>
      <c r="L105" s="6" t="s">
        <v>89</v>
      </c>
      <c r="M105" s="12">
        <v>417</v>
      </c>
      <c r="N105" s="2">
        <v>84</v>
      </c>
      <c r="O105" s="4">
        <v>0.13369999999999999</v>
      </c>
      <c r="P105" s="2">
        <v>35028</v>
      </c>
      <c r="Q105" s="2">
        <v>3204.95</v>
      </c>
      <c r="R105" s="2">
        <v>15964.55</v>
      </c>
      <c r="S105" s="2">
        <v>2237.2000000000003</v>
      </c>
      <c r="T105" s="2">
        <v>30344.756400000002</v>
      </c>
      <c r="U105" s="2">
        <v>8938.0564000000013</v>
      </c>
      <c r="V105" s="5">
        <v>0.29455027689726321</v>
      </c>
    </row>
    <row r="106" spans="1:22" x14ac:dyDescent="0.3">
      <c r="A106">
        <f t="shared" si="1"/>
        <v>105</v>
      </c>
      <c r="B106" t="s">
        <v>190</v>
      </c>
      <c r="C106" s="1">
        <v>45707</v>
      </c>
      <c r="D106" t="s">
        <v>55</v>
      </c>
      <c r="E106" s="6" t="s">
        <v>662</v>
      </c>
      <c r="F106" s="6" t="s">
        <v>66</v>
      </c>
      <c r="G106" s="6" t="s">
        <v>22</v>
      </c>
      <c r="H106" t="s">
        <v>15</v>
      </c>
      <c r="I106" s="6" t="s">
        <v>31</v>
      </c>
      <c r="J106" s="6" t="s">
        <v>17</v>
      </c>
      <c r="K106" s="6" t="s">
        <v>48</v>
      </c>
      <c r="L106" s="6" t="s">
        <v>57</v>
      </c>
      <c r="M106" s="12">
        <v>177</v>
      </c>
      <c r="N106" s="2">
        <v>88.2</v>
      </c>
      <c r="O106" s="4">
        <v>0.1421</v>
      </c>
      <c r="P106" s="2">
        <v>15611.4</v>
      </c>
      <c r="Q106" s="2">
        <v>1037.05</v>
      </c>
      <c r="R106" s="2">
        <v>9186.0999999999985</v>
      </c>
      <c r="S106" s="2">
        <v>845.95</v>
      </c>
      <c r="T106" s="2">
        <v>13393.020059999999</v>
      </c>
      <c r="U106" s="2">
        <v>2323.9200599999995</v>
      </c>
      <c r="V106" s="5">
        <v>0.17351725373283727</v>
      </c>
    </row>
    <row r="107" spans="1:22" x14ac:dyDescent="0.3">
      <c r="A107">
        <f t="shared" si="1"/>
        <v>106</v>
      </c>
      <c r="B107" t="s">
        <v>191</v>
      </c>
      <c r="C107" s="1">
        <v>45676</v>
      </c>
      <c r="D107" t="s">
        <v>44</v>
      </c>
      <c r="E107" s="6" t="s">
        <v>663</v>
      </c>
      <c r="F107" s="6" t="s">
        <v>21</v>
      </c>
      <c r="G107" s="6" t="s">
        <v>69</v>
      </c>
      <c r="H107" t="s">
        <v>27</v>
      </c>
      <c r="I107" s="6" t="s">
        <v>16</v>
      </c>
      <c r="J107" s="6" t="s">
        <v>32</v>
      </c>
      <c r="K107" s="6" t="s">
        <v>18</v>
      </c>
      <c r="L107" s="6" t="s">
        <v>80</v>
      </c>
      <c r="M107" s="12">
        <v>113</v>
      </c>
      <c r="N107" s="2">
        <v>79.099999999999994</v>
      </c>
      <c r="O107" s="4">
        <v>9.4200000000000006E-2</v>
      </c>
      <c r="P107" s="2">
        <v>8938.2999999999993</v>
      </c>
      <c r="Q107" s="2">
        <v>771.4</v>
      </c>
      <c r="R107" s="2">
        <v>3886.05</v>
      </c>
      <c r="S107" s="2">
        <v>519.4</v>
      </c>
      <c r="T107" s="2">
        <v>8096.3121399999991</v>
      </c>
      <c r="U107" s="2">
        <v>2919.4621399999992</v>
      </c>
      <c r="V107" s="5">
        <v>0.36059159893012716</v>
      </c>
    </row>
    <row r="108" spans="1:22" x14ac:dyDescent="0.3">
      <c r="A108">
        <f t="shared" si="1"/>
        <v>107</v>
      </c>
      <c r="B108" t="s">
        <v>192</v>
      </c>
      <c r="C108" s="1">
        <v>45760</v>
      </c>
      <c r="D108" t="s">
        <v>61</v>
      </c>
      <c r="E108" s="6" t="s">
        <v>662</v>
      </c>
      <c r="F108" s="6" t="s">
        <v>42</v>
      </c>
      <c r="G108" s="6" t="s">
        <v>65</v>
      </c>
      <c r="H108" t="s">
        <v>27</v>
      </c>
      <c r="I108" s="6" t="s">
        <v>28</v>
      </c>
      <c r="J108" s="6" t="s">
        <v>32</v>
      </c>
      <c r="K108" s="6" t="s">
        <v>37</v>
      </c>
      <c r="L108" s="6" t="s">
        <v>77</v>
      </c>
      <c r="M108" s="12">
        <v>188</v>
      </c>
      <c r="N108" s="2">
        <v>168</v>
      </c>
      <c r="O108" s="4">
        <v>9.6099999999999991E-2</v>
      </c>
      <c r="P108" s="2">
        <v>31584</v>
      </c>
      <c r="Q108" s="2">
        <v>1698.55</v>
      </c>
      <c r="R108" s="2">
        <v>16470.649999999998</v>
      </c>
      <c r="S108" s="2">
        <v>1600.2</v>
      </c>
      <c r="T108" s="2">
        <v>28548.777600000001</v>
      </c>
      <c r="U108" s="2">
        <v>8779.3776000000034</v>
      </c>
      <c r="V108" s="5">
        <v>0.30752201453276945</v>
      </c>
    </row>
    <row r="109" spans="1:22" x14ac:dyDescent="0.3">
      <c r="A109">
        <f t="shared" si="1"/>
        <v>108</v>
      </c>
      <c r="B109" t="s">
        <v>193</v>
      </c>
      <c r="C109" s="1">
        <v>45746</v>
      </c>
      <c r="D109" t="s">
        <v>41</v>
      </c>
      <c r="E109" s="6" t="s">
        <v>663</v>
      </c>
      <c r="F109" s="6" t="s">
        <v>21</v>
      </c>
      <c r="G109" s="6" t="s">
        <v>22</v>
      </c>
      <c r="H109" t="s">
        <v>15</v>
      </c>
      <c r="I109" s="6" t="s">
        <v>23</v>
      </c>
      <c r="J109" s="6" t="s">
        <v>52</v>
      </c>
      <c r="K109" s="6" t="s">
        <v>37</v>
      </c>
      <c r="L109" s="6" t="s">
        <v>72</v>
      </c>
      <c r="M109" s="12">
        <v>82</v>
      </c>
      <c r="N109" s="2">
        <v>60.199999999999996</v>
      </c>
      <c r="O109" s="4">
        <v>0.1714</v>
      </c>
      <c r="P109" s="2">
        <v>4936.3999999999996</v>
      </c>
      <c r="Q109" s="2">
        <v>702.45</v>
      </c>
      <c r="R109" s="2">
        <v>2207.4499999999998</v>
      </c>
      <c r="S109" s="2">
        <v>448.35</v>
      </c>
      <c r="T109" s="2">
        <v>4090.3010399999998</v>
      </c>
      <c r="U109" s="2">
        <v>732.05104000000006</v>
      </c>
      <c r="V109" s="5">
        <v>0.17897241128247129</v>
      </c>
    </row>
    <row r="110" spans="1:22" x14ac:dyDescent="0.3">
      <c r="A110">
        <f t="shared" si="1"/>
        <v>109</v>
      </c>
      <c r="B110" t="s">
        <v>194</v>
      </c>
      <c r="C110" s="1">
        <v>45910</v>
      </c>
      <c r="D110" t="s">
        <v>14</v>
      </c>
      <c r="E110" s="6" t="s">
        <v>662</v>
      </c>
      <c r="F110" s="6" t="s">
        <v>66</v>
      </c>
      <c r="G110" s="6" t="s">
        <v>65</v>
      </c>
      <c r="H110" t="s">
        <v>27</v>
      </c>
      <c r="I110" s="6" t="s">
        <v>16</v>
      </c>
      <c r="J110" s="6" t="s">
        <v>32</v>
      </c>
      <c r="K110" s="6" t="s">
        <v>33</v>
      </c>
      <c r="L110" s="6" t="s">
        <v>79</v>
      </c>
      <c r="M110" s="12">
        <v>206</v>
      </c>
      <c r="N110" s="2">
        <v>74.55</v>
      </c>
      <c r="O110" s="4">
        <v>6.0499999999999998E-2</v>
      </c>
      <c r="P110" s="2">
        <v>15357.3</v>
      </c>
      <c r="Q110" s="2">
        <v>1653.75</v>
      </c>
      <c r="R110" s="2">
        <v>8259.65</v>
      </c>
      <c r="S110" s="2">
        <v>973.34999999999991</v>
      </c>
      <c r="T110" s="2">
        <v>14428.183349999999</v>
      </c>
      <c r="U110" s="2">
        <v>3541.4333499999993</v>
      </c>
      <c r="V110" s="5">
        <v>0.2454524775636428</v>
      </c>
    </row>
    <row r="111" spans="1:22" x14ac:dyDescent="0.3">
      <c r="A111">
        <f t="shared" si="1"/>
        <v>110</v>
      </c>
      <c r="B111" t="s">
        <v>195</v>
      </c>
      <c r="C111" s="1">
        <v>45709</v>
      </c>
      <c r="D111" t="s">
        <v>55</v>
      </c>
      <c r="E111" s="6" t="s">
        <v>662</v>
      </c>
      <c r="F111" s="6" t="s">
        <v>42</v>
      </c>
      <c r="G111" s="6" t="s">
        <v>22</v>
      </c>
      <c r="H111" t="s">
        <v>27</v>
      </c>
      <c r="I111" s="6" t="s">
        <v>16</v>
      </c>
      <c r="J111" s="6" t="s">
        <v>32</v>
      </c>
      <c r="K111" s="6" t="s">
        <v>37</v>
      </c>
      <c r="L111" s="6" t="s">
        <v>38</v>
      </c>
      <c r="M111" s="12">
        <v>226</v>
      </c>
      <c r="N111" s="2">
        <v>77.7</v>
      </c>
      <c r="O111" s="4">
        <v>0.13739999999999999</v>
      </c>
      <c r="P111" s="2">
        <v>17560.2</v>
      </c>
      <c r="Q111" s="2">
        <v>3574.9</v>
      </c>
      <c r="R111" s="2">
        <v>7937.65</v>
      </c>
      <c r="S111" s="2">
        <v>1134</v>
      </c>
      <c r="T111" s="2">
        <v>15147.428520000001</v>
      </c>
      <c r="U111" s="2">
        <v>2500.8785200000016</v>
      </c>
      <c r="V111" s="5">
        <v>0.16510251338687296</v>
      </c>
    </row>
    <row r="112" spans="1:22" x14ac:dyDescent="0.3">
      <c r="A112">
        <f t="shared" si="1"/>
        <v>111</v>
      </c>
      <c r="B112" t="s">
        <v>196</v>
      </c>
      <c r="C112" s="1">
        <v>46000</v>
      </c>
      <c r="D112" t="s">
        <v>50</v>
      </c>
      <c r="E112" s="6" t="s">
        <v>662</v>
      </c>
      <c r="F112" s="6" t="s">
        <v>42</v>
      </c>
      <c r="G112" s="6" t="s">
        <v>64</v>
      </c>
      <c r="H112" t="s">
        <v>15</v>
      </c>
      <c r="I112" s="6" t="s">
        <v>23</v>
      </c>
      <c r="J112" s="6" t="s">
        <v>17</v>
      </c>
      <c r="K112" s="6" t="s">
        <v>46</v>
      </c>
      <c r="L112" s="6" t="s">
        <v>81</v>
      </c>
      <c r="M112" s="12">
        <v>46</v>
      </c>
      <c r="N112" s="2">
        <v>149.80000000000001</v>
      </c>
      <c r="O112" s="4">
        <v>0.1152</v>
      </c>
      <c r="P112" s="2">
        <v>6890.8</v>
      </c>
      <c r="Q112" s="2">
        <v>911.75</v>
      </c>
      <c r="R112" s="2">
        <v>3439.8</v>
      </c>
      <c r="S112" s="2">
        <v>714.35</v>
      </c>
      <c r="T112" s="2">
        <v>6096.97984</v>
      </c>
      <c r="U112" s="2">
        <v>1031.0798399999994</v>
      </c>
      <c r="V112" s="5">
        <v>0.16911321130430365</v>
      </c>
    </row>
    <row r="113" spans="1:22" x14ac:dyDescent="0.3">
      <c r="A113">
        <f t="shared" si="1"/>
        <v>112</v>
      </c>
      <c r="B113" t="s">
        <v>197</v>
      </c>
      <c r="C113" s="1">
        <v>45667</v>
      </c>
      <c r="D113" t="s">
        <v>44</v>
      </c>
      <c r="E113" s="6" t="s">
        <v>664</v>
      </c>
      <c r="F113" s="6" t="s">
        <v>63</v>
      </c>
      <c r="G113" s="6" t="s">
        <v>65</v>
      </c>
      <c r="H113" t="s">
        <v>27</v>
      </c>
      <c r="I113" s="6" t="s">
        <v>16</v>
      </c>
      <c r="J113" s="6" t="s">
        <v>32</v>
      </c>
      <c r="K113" s="6" t="s">
        <v>33</v>
      </c>
      <c r="L113" s="6" t="s">
        <v>34</v>
      </c>
      <c r="M113" s="12">
        <v>37</v>
      </c>
      <c r="N113" s="2">
        <v>95.9</v>
      </c>
      <c r="O113" s="4">
        <v>5.5899999999999998E-2</v>
      </c>
      <c r="P113" s="2">
        <v>3548.3</v>
      </c>
      <c r="Q113" s="2">
        <v>337.75</v>
      </c>
      <c r="R113" s="2">
        <v>1943.55</v>
      </c>
      <c r="S113" s="2">
        <v>223.29999999999998</v>
      </c>
      <c r="T113" s="2">
        <v>3349.9500300000004</v>
      </c>
      <c r="U113" s="2">
        <v>845.35003000000029</v>
      </c>
      <c r="V113" s="5">
        <v>0.25234705665146895</v>
      </c>
    </row>
    <row r="114" spans="1:22" x14ac:dyDescent="0.3">
      <c r="A114">
        <f t="shared" si="1"/>
        <v>113</v>
      </c>
      <c r="B114" t="s">
        <v>198</v>
      </c>
      <c r="C114" s="1">
        <v>45921</v>
      </c>
      <c r="D114" t="s">
        <v>14</v>
      </c>
      <c r="E114" s="6" t="s">
        <v>664</v>
      </c>
      <c r="F114" s="6" t="s">
        <v>63</v>
      </c>
      <c r="G114" s="6" t="s">
        <v>69</v>
      </c>
      <c r="H114" t="s">
        <v>27</v>
      </c>
      <c r="I114" s="6" t="s">
        <v>16</v>
      </c>
      <c r="J114" s="6" t="s">
        <v>52</v>
      </c>
      <c r="K114" s="6" t="s">
        <v>18</v>
      </c>
      <c r="L114" s="6" t="s">
        <v>71</v>
      </c>
      <c r="M114" s="12">
        <v>139</v>
      </c>
      <c r="N114" s="2">
        <v>86.45</v>
      </c>
      <c r="O114" s="4">
        <v>0.1993</v>
      </c>
      <c r="P114" s="2">
        <v>12016.550000000001</v>
      </c>
      <c r="Q114" s="2">
        <v>1514.1</v>
      </c>
      <c r="R114" s="2">
        <v>5082.7</v>
      </c>
      <c r="S114" s="2">
        <v>709.1</v>
      </c>
      <c r="T114" s="2">
        <v>9621.6515849999996</v>
      </c>
      <c r="U114" s="2">
        <v>2315.7515849999995</v>
      </c>
      <c r="V114" s="5">
        <v>0.24068129723281803</v>
      </c>
    </row>
    <row r="115" spans="1:22" x14ac:dyDescent="0.3">
      <c r="A115">
        <f t="shared" si="1"/>
        <v>114</v>
      </c>
      <c r="B115" t="s">
        <v>199</v>
      </c>
      <c r="C115" s="1">
        <v>45962</v>
      </c>
      <c r="D115" t="s">
        <v>67</v>
      </c>
      <c r="E115" s="6" t="s">
        <v>662</v>
      </c>
      <c r="F115" s="6" t="s">
        <v>66</v>
      </c>
      <c r="G115" s="6" t="s">
        <v>69</v>
      </c>
      <c r="H115" t="s">
        <v>15</v>
      </c>
      <c r="I115" s="6" t="s">
        <v>28</v>
      </c>
      <c r="J115" s="6" t="s">
        <v>24</v>
      </c>
      <c r="K115" s="6" t="s">
        <v>48</v>
      </c>
      <c r="L115" s="6" t="s">
        <v>56</v>
      </c>
      <c r="M115" s="12">
        <v>291</v>
      </c>
      <c r="N115" s="2">
        <v>113.4</v>
      </c>
      <c r="O115" s="4">
        <v>0.19870000000000002</v>
      </c>
      <c r="P115" s="2">
        <v>32999.4</v>
      </c>
      <c r="Q115" s="2">
        <v>2683.4500000000003</v>
      </c>
      <c r="R115" s="2">
        <v>16824.5</v>
      </c>
      <c r="S115" s="2">
        <v>1700.65</v>
      </c>
      <c r="T115" s="2">
        <v>26442.41922</v>
      </c>
      <c r="U115" s="2">
        <v>5233.8192199999976</v>
      </c>
      <c r="V115" s="5">
        <v>0.19793269202998429</v>
      </c>
    </row>
    <row r="116" spans="1:22" x14ac:dyDescent="0.3">
      <c r="A116">
        <f t="shared" si="1"/>
        <v>115</v>
      </c>
      <c r="B116" t="s">
        <v>200</v>
      </c>
      <c r="C116" s="1">
        <v>45918</v>
      </c>
      <c r="D116" t="s">
        <v>14</v>
      </c>
      <c r="E116" s="6" t="s">
        <v>663</v>
      </c>
      <c r="F116" s="6" t="s">
        <v>21</v>
      </c>
      <c r="G116" s="6" t="s">
        <v>64</v>
      </c>
      <c r="H116" t="s">
        <v>27</v>
      </c>
      <c r="I116" s="6" t="s">
        <v>16</v>
      </c>
      <c r="J116" s="6" t="s">
        <v>84</v>
      </c>
      <c r="K116" s="6" t="s">
        <v>18</v>
      </c>
      <c r="L116" s="6" t="s">
        <v>80</v>
      </c>
      <c r="M116" s="12">
        <v>234</v>
      </c>
      <c r="N116" s="2">
        <v>79.45</v>
      </c>
      <c r="O116" s="4">
        <v>0.15759999999999999</v>
      </c>
      <c r="P116" s="2">
        <v>18591.3</v>
      </c>
      <c r="Q116" s="2">
        <v>5021.7999999999993</v>
      </c>
      <c r="R116" s="2">
        <v>7517.65</v>
      </c>
      <c r="S116" s="2">
        <v>1121.3999999999999</v>
      </c>
      <c r="T116" s="2">
        <v>15661.31112</v>
      </c>
      <c r="U116" s="2">
        <v>2000.4611200000018</v>
      </c>
      <c r="V116" s="5">
        <v>0.12773267223108467</v>
      </c>
    </row>
    <row r="117" spans="1:22" x14ac:dyDescent="0.3">
      <c r="A117">
        <f t="shared" si="1"/>
        <v>116</v>
      </c>
      <c r="B117" t="s">
        <v>201</v>
      </c>
      <c r="C117" s="1">
        <v>45901</v>
      </c>
      <c r="D117" t="s">
        <v>14</v>
      </c>
      <c r="E117" s="6" t="s">
        <v>662</v>
      </c>
      <c r="F117" s="6" t="s">
        <v>42</v>
      </c>
      <c r="G117" s="6" t="s">
        <v>68</v>
      </c>
      <c r="H117" t="s">
        <v>27</v>
      </c>
      <c r="I117" s="6" t="s">
        <v>31</v>
      </c>
      <c r="J117" s="6" t="s">
        <v>32</v>
      </c>
      <c r="K117" s="6" t="s">
        <v>37</v>
      </c>
      <c r="L117" s="6" t="s">
        <v>90</v>
      </c>
      <c r="M117" s="12">
        <v>555</v>
      </c>
      <c r="N117" s="2">
        <v>144.89999999999998</v>
      </c>
      <c r="O117" s="4">
        <v>0.1661</v>
      </c>
      <c r="P117" s="2">
        <v>80419.499999999985</v>
      </c>
      <c r="Q117" s="2">
        <v>4137.7</v>
      </c>
      <c r="R117" s="2">
        <v>36288.35</v>
      </c>
      <c r="S117" s="2">
        <v>3126.9</v>
      </c>
      <c r="T117" s="2">
        <v>67061.821049999984</v>
      </c>
      <c r="U117" s="2">
        <v>23508.871049999983</v>
      </c>
      <c r="V117" s="5">
        <v>0.35055521430699338</v>
      </c>
    </row>
    <row r="118" spans="1:22" x14ac:dyDescent="0.3">
      <c r="A118">
        <f t="shared" si="1"/>
        <v>117</v>
      </c>
      <c r="B118" t="s">
        <v>202</v>
      </c>
      <c r="C118" s="1">
        <v>45966</v>
      </c>
      <c r="D118" t="s">
        <v>67</v>
      </c>
      <c r="E118" s="6" t="s">
        <v>662</v>
      </c>
      <c r="F118" s="6" t="s">
        <v>66</v>
      </c>
      <c r="G118" s="6" t="s">
        <v>64</v>
      </c>
      <c r="H118" t="s">
        <v>15</v>
      </c>
      <c r="I118" s="6" t="s">
        <v>16</v>
      </c>
      <c r="J118" s="6" t="s">
        <v>32</v>
      </c>
      <c r="K118" s="6" t="s">
        <v>48</v>
      </c>
      <c r="L118" s="6" t="s">
        <v>62</v>
      </c>
      <c r="M118" s="12">
        <v>163</v>
      </c>
      <c r="N118" s="2">
        <v>268.8</v>
      </c>
      <c r="O118" s="4">
        <v>0.10369999999999999</v>
      </c>
      <c r="P118" s="2">
        <v>43814.400000000001</v>
      </c>
      <c r="Q118" s="2">
        <v>3727.5</v>
      </c>
      <c r="R118" s="2">
        <v>28988.05</v>
      </c>
      <c r="S118" s="2">
        <v>3456.95</v>
      </c>
      <c r="T118" s="2">
        <v>39270.846720000001</v>
      </c>
      <c r="U118" s="2">
        <v>3098.346720000005</v>
      </c>
      <c r="V118" s="5">
        <v>7.889686571036085E-2</v>
      </c>
    </row>
    <row r="119" spans="1:22" x14ac:dyDescent="0.3">
      <c r="A119">
        <f t="shared" si="1"/>
        <v>118</v>
      </c>
      <c r="B119" t="s">
        <v>203</v>
      </c>
      <c r="C119" s="1">
        <v>45668</v>
      </c>
      <c r="D119" t="s">
        <v>44</v>
      </c>
      <c r="E119" s="6" t="s">
        <v>662</v>
      </c>
      <c r="F119" s="6" t="s">
        <v>42</v>
      </c>
      <c r="G119" s="6" t="s">
        <v>65</v>
      </c>
      <c r="H119" t="s">
        <v>27</v>
      </c>
      <c r="I119" s="6" t="s">
        <v>28</v>
      </c>
      <c r="J119" s="6" t="s">
        <v>32</v>
      </c>
      <c r="K119" s="6" t="s">
        <v>33</v>
      </c>
      <c r="L119" s="6" t="s">
        <v>79</v>
      </c>
      <c r="M119" s="12">
        <v>379</v>
      </c>
      <c r="N119" s="2">
        <v>67.2</v>
      </c>
      <c r="O119" s="4">
        <v>8.3800000000000013E-2</v>
      </c>
      <c r="P119" s="2">
        <v>25468.799999999999</v>
      </c>
      <c r="Q119" s="2">
        <v>1648.85</v>
      </c>
      <c r="R119" s="2">
        <v>13265.699999999999</v>
      </c>
      <c r="S119" s="2">
        <v>1161.6499999999999</v>
      </c>
      <c r="T119" s="2">
        <v>23334.51456</v>
      </c>
      <c r="U119" s="2">
        <v>7258.3145599999989</v>
      </c>
      <c r="V119" s="5">
        <v>0.3110548771578987</v>
      </c>
    </row>
    <row r="120" spans="1:22" x14ac:dyDescent="0.3">
      <c r="A120">
        <f t="shared" si="1"/>
        <v>119</v>
      </c>
      <c r="B120" t="s">
        <v>204</v>
      </c>
      <c r="C120" s="1">
        <v>45901</v>
      </c>
      <c r="D120" t="s">
        <v>14</v>
      </c>
      <c r="E120" s="6" t="s">
        <v>663</v>
      </c>
      <c r="F120" s="6" t="s">
        <v>21</v>
      </c>
      <c r="G120" s="6" t="s">
        <v>69</v>
      </c>
      <c r="H120" t="s">
        <v>15</v>
      </c>
      <c r="I120" s="6" t="s">
        <v>23</v>
      </c>
      <c r="J120" s="6" t="s">
        <v>52</v>
      </c>
      <c r="K120" s="6" t="s">
        <v>33</v>
      </c>
      <c r="L120" s="6" t="s">
        <v>53</v>
      </c>
      <c r="M120" s="12">
        <v>27</v>
      </c>
      <c r="N120" s="2">
        <v>76.649999999999991</v>
      </c>
      <c r="O120" s="4">
        <v>0.15079999999999999</v>
      </c>
      <c r="P120" s="2">
        <v>2069.5499999999997</v>
      </c>
      <c r="Q120" s="2">
        <v>418.6</v>
      </c>
      <c r="R120" s="2">
        <v>1016.4</v>
      </c>
      <c r="S120" s="2">
        <v>154.35</v>
      </c>
      <c r="T120" s="2">
        <v>1757.4618599999997</v>
      </c>
      <c r="U120" s="2">
        <v>168.11185999999975</v>
      </c>
      <c r="V120" s="5">
        <v>9.5656050254199987E-2</v>
      </c>
    </row>
    <row r="121" spans="1:22" x14ac:dyDescent="0.3">
      <c r="A121">
        <f t="shared" si="1"/>
        <v>120</v>
      </c>
      <c r="B121" t="s">
        <v>205</v>
      </c>
      <c r="C121" s="1">
        <v>45921</v>
      </c>
      <c r="D121" t="s">
        <v>14</v>
      </c>
      <c r="E121" s="6" t="s">
        <v>662</v>
      </c>
      <c r="F121" s="6" t="s">
        <v>66</v>
      </c>
      <c r="G121" s="6" t="s">
        <v>69</v>
      </c>
      <c r="H121" t="s">
        <v>15</v>
      </c>
      <c r="I121" s="6" t="s">
        <v>16</v>
      </c>
      <c r="J121" s="6" t="s">
        <v>32</v>
      </c>
      <c r="K121" s="6" t="s">
        <v>48</v>
      </c>
      <c r="L121" s="6" t="s">
        <v>49</v>
      </c>
      <c r="M121" s="12">
        <v>34</v>
      </c>
      <c r="N121" s="2">
        <v>118.3</v>
      </c>
      <c r="O121" s="4">
        <v>3.1400000000000004E-2</v>
      </c>
      <c r="P121" s="2">
        <v>4022.2</v>
      </c>
      <c r="Q121" s="2">
        <v>425.6</v>
      </c>
      <c r="R121" s="2">
        <v>2441.25</v>
      </c>
      <c r="S121" s="2">
        <v>319.55</v>
      </c>
      <c r="T121" s="2">
        <v>3895.90292</v>
      </c>
      <c r="U121" s="2">
        <v>709.50291999999979</v>
      </c>
      <c r="V121" s="5">
        <v>0.18211514366995565</v>
      </c>
    </row>
    <row r="122" spans="1:22" x14ac:dyDescent="0.3">
      <c r="A122">
        <f t="shared" si="1"/>
        <v>121</v>
      </c>
      <c r="B122" t="s">
        <v>206</v>
      </c>
      <c r="C122" s="1">
        <v>45939</v>
      </c>
      <c r="D122" t="s">
        <v>20</v>
      </c>
      <c r="E122" s="6" t="s">
        <v>662</v>
      </c>
      <c r="F122" s="6" t="s">
        <v>42</v>
      </c>
      <c r="G122" s="6" t="s">
        <v>65</v>
      </c>
      <c r="H122" t="s">
        <v>15</v>
      </c>
      <c r="I122" s="6" t="s">
        <v>23</v>
      </c>
      <c r="J122" s="6" t="s">
        <v>32</v>
      </c>
      <c r="K122" s="6" t="s">
        <v>37</v>
      </c>
      <c r="L122" s="6" t="s">
        <v>77</v>
      </c>
      <c r="M122" s="12">
        <v>106</v>
      </c>
      <c r="N122" s="2">
        <v>181.65</v>
      </c>
      <c r="O122" s="4">
        <v>5.8499999999999996E-2</v>
      </c>
      <c r="P122" s="2">
        <v>19254.900000000001</v>
      </c>
      <c r="Q122" s="2">
        <v>2663.15</v>
      </c>
      <c r="R122" s="2">
        <v>10623.900000000001</v>
      </c>
      <c r="S122" s="2">
        <v>1886.85</v>
      </c>
      <c r="T122" s="2">
        <v>18128.48835</v>
      </c>
      <c r="U122" s="2">
        <v>2954.5883499999977</v>
      </c>
      <c r="V122" s="5">
        <v>0.16298040371358363</v>
      </c>
    </row>
    <row r="123" spans="1:22" x14ac:dyDescent="0.3">
      <c r="A123">
        <f t="shared" si="1"/>
        <v>122</v>
      </c>
      <c r="B123" t="s">
        <v>207</v>
      </c>
      <c r="C123" s="1">
        <v>45989</v>
      </c>
      <c r="D123" t="s">
        <v>67</v>
      </c>
      <c r="E123" s="6" t="s">
        <v>664</v>
      </c>
      <c r="F123" s="6" t="s">
        <v>63</v>
      </c>
      <c r="G123" s="6" t="s">
        <v>43</v>
      </c>
      <c r="H123" t="s">
        <v>27</v>
      </c>
      <c r="I123" s="6" t="s">
        <v>28</v>
      </c>
      <c r="J123" s="6" t="s">
        <v>52</v>
      </c>
      <c r="K123" s="6" t="s">
        <v>33</v>
      </c>
      <c r="L123" s="6" t="s">
        <v>78</v>
      </c>
      <c r="M123" s="12">
        <v>214</v>
      </c>
      <c r="N123" s="2">
        <v>86.45</v>
      </c>
      <c r="O123" s="4">
        <v>0.1946</v>
      </c>
      <c r="P123" s="2">
        <v>18500.3</v>
      </c>
      <c r="Q123" s="2">
        <v>2073.75</v>
      </c>
      <c r="R123" s="2">
        <v>9219.7000000000007</v>
      </c>
      <c r="S123" s="2">
        <v>852.25</v>
      </c>
      <c r="T123" s="2">
        <v>14900.14162</v>
      </c>
      <c r="U123" s="2">
        <v>2754.4416199999996</v>
      </c>
      <c r="V123" s="5">
        <v>0.18486009665188669</v>
      </c>
    </row>
    <row r="124" spans="1:22" x14ac:dyDescent="0.3">
      <c r="A124">
        <f t="shared" si="1"/>
        <v>123</v>
      </c>
      <c r="B124" t="s">
        <v>208</v>
      </c>
      <c r="C124" s="1">
        <v>46011</v>
      </c>
      <c r="D124" t="s">
        <v>50</v>
      </c>
      <c r="E124" s="6" t="s">
        <v>664</v>
      </c>
      <c r="F124" s="6" t="s">
        <v>63</v>
      </c>
      <c r="G124" s="6" t="s">
        <v>69</v>
      </c>
      <c r="H124" t="s">
        <v>27</v>
      </c>
      <c r="I124" s="6" t="s">
        <v>31</v>
      </c>
      <c r="J124" s="6" t="s">
        <v>32</v>
      </c>
      <c r="K124" s="6" t="s">
        <v>48</v>
      </c>
      <c r="L124" s="6" t="s">
        <v>54</v>
      </c>
      <c r="M124" s="12">
        <v>726</v>
      </c>
      <c r="N124" s="2">
        <v>72.100000000000009</v>
      </c>
      <c r="O124" s="4">
        <v>0.1368</v>
      </c>
      <c r="P124" s="2">
        <v>52344.600000000006</v>
      </c>
      <c r="Q124" s="2">
        <v>2405.8999999999996</v>
      </c>
      <c r="R124" s="2">
        <v>32063.850000000002</v>
      </c>
      <c r="S124" s="2">
        <v>2806.3</v>
      </c>
      <c r="T124" s="2">
        <v>45183.858720000004</v>
      </c>
      <c r="U124" s="2">
        <v>7907.8087199999991</v>
      </c>
      <c r="V124" s="5">
        <v>0.1750140192541749</v>
      </c>
    </row>
    <row r="125" spans="1:22" x14ac:dyDescent="0.3">
      <c r="A125">
        <f t="shared" si="1"/>
        <v>124</v>
      </c>
      <c r="B125" t="s">
        <v>209</v>
      </c>
      <c r="C125" s="1">
        <v>45745</v>
      </c>
      <c r="D125" t="s">
        <v>41</v>
      </c>
      <c r="E125" s="6" t="s">
        <v>662</v>
      </c>
      <c r="F125" s="6" t="s">
        <v>42</v>
      </c>
      <c r="G125" s="6" t="s">
        <v>65</v>
      </c>
      <c r="H125" t="s">
        <v>27</v>
      </c>
      <c r="I125" s="6" t="s">
        <v>31</v>
      </c>
      <c r="J125" s="6" t="s">
        <v>17</v>
      </c>
      <c r="K125" s="6" t="s">
        <v>18</v>
      </c>
      <c r="L125" s="6" t="s">
        <v>19</v>
      </c>
      <c r="M125" s="12">
        <v>1076</v>
      </c>
      <c r="N125" s="2">
        <v>201.95</v>
      </c>
      <c r="O125" s="4">
        <v>0.1421</v>
      </c>
      <c r="P125" s="2">
        <v>217298.19999999998</v>
      </c>
      <c r="Q125" s="2">
        <v>14133</v>
      </c>
      <c r="R125" s="2">
        <v>104703.55</v>
      </c>
      <c r="S125" s="2">
        <v>7529.2</v>
      </c>
      <c r="T125" s="2">
        <v>186420.12577999997</v>
      </c>
      <c r="U125" s="2">
        <v>60054.375779999958</v>
      </c>
      <c r="V125" s="5">
        <v>0.32214534524492244</v>
      </c>
    </row>
    <row r="126" spans="1:22" x14ac:dyDescent="0.3">
      <c r="A126">
        <f t="shared" si="1"/>
        <v>125</v>
      </c>
      <c r="B126" t="s">
        <v>210</v>
      </c>
      <c r="C126" s="1">
        <v>45921</v>
      </c>
      <c r="D126" t="s">
        <v>14</v>
      </c>
      <c r="E126" s="6" t="s">
        <v>662</v>
      </c>
      <c r="F126" s="6" t="s">
        <v>66</v>
      </c>
      <c r="G126" s="6" t="s">
        <v>22</v>
      </c>
      <c r="H126" t="s">
        <v>27</v>
      </c>
      <c r="I126" s="6" t="s">
        <v>28</v>
      </c>
      <c r="J126" s="6" t="s">
        <v>32</v>
      </c>
      <c r="K126" s="6" t="s">
        <v>37</v>
      </c>
      <c r="L126" s="6" t="s">
        <v>75</v>
      </c>
      <c r="M126" s="12">
        <v>530</v>
      </c>
      <c r="N126" s="2">
        <v>123.9</v>
      </c>
      <c r="O126" s="4">
        <v>0.12659999999999999</v>
      </c>
      <c r="P126" s="2">
        <v>65667</v>
      </c>
      <c r="Q126" s="2">
        <v>3498.25</v>
      </c>
      <c r="R126" s="2">
        <v>33070.1</v>
      </c>
      <c r="S126" s="2">
        <v>3472.35</v>
      </c>
      <c r="T126" s="2">
        <v>57353.557799999995</v>
      </c>
      <c r="U126" s="2">
        <v>17312.857799999998</v>
      </c>
      <c r="V126" s="5">
        <v>0.30186196748896366</v>
      </c>
    </row>
    <row r="127" spans="1:22" x14ac:dyDescent="0.3">
      <c r="A127">
        <f t="shared" si="1"/>
        <v>126</v>
      </c>
      <c r="B127" t="s">
        <v>211</v>
      </c>
      <c r="C127" s="1">
        <v>45706</v>
      </c>
      <c r="D127" t="s">
        <v>55</v>
      </c>
      <c r="E127" s="6" t="s">
        <v>663</v>
      </c>
      <c r="F127" s="6" t="s">
        <v>21</v>
      </c>
      <c r="G127" s="6" t="s">
        <v>65</v>
      </c>
      <c r="H127" t="s">
        <v>27</v>
      </c>
      <c r="I127" s="6" t="s">
        <v>28</v>
      </c>
      <c r="J127" s="6" t="s">
        <v>24</v>
      </c>
      <c r="K127" s="6" t="s">
        <v>33</v>
      </c>
      <c r="L127" s="6" t="s">
        <v>78</v>
      </c>
      <c r="M127" s="12">
        <v>198</v>
      </c>
      <c r="N127" s="2">
        <v>90.649999999999991</v>
      </c>
      <c r="O127" s="4">
        <v>0.2079</v>
      </c>
      <c r="P127" s="2">
        <v>17948.699999999997</v>
      </c>
      <c r="Q127" s="2">
        <v>1589.35</v>
      </c>
      <c r="R127" s="2">
        <v>8264.5499999999993</v>
      </c>
      <c r="S127" s="2">
        <v>857.5</v>
      </c>
      <c r="T127" s="2">
        <v>14217.165269999998</v>
      </c>
      <c r="U127" s="2">
        <v>3505.7652699999985</v>
      </c>
      <c r="V127" s="5">
        <v>0.24658679866355659</v>
      </c>
    </row>
    <row r="128" spans="1:22" x14ac:dyDescent="0.3">
      <c r="A128">
        <f t="shared" si="1"/>
        <v>127</v>
      </c>
      <c r="B128" t="s">
        <v>212</v>
      </c>
      <c r="C128" s="1">
        <v>45813</v>
      </c>
      <c r="D128" t="s">
        <v>58</v>
      </c>
      <c r="E128" s="6" t="s">
        <v>663</v>
      </c>
      <c r="F128" s="6" t="s">
        <v>21</v>
      </c>
      <c r="G128" s="6" t="s">
        <v>43</v>
      </c>
      <c r="H128" t="s">
        <v>27</v>
      </c>
      <c r="I128" s="6" t="s">
        <v>31</v>
      </c>
      <c r="J128" s="6" t="s">
        <v>84</v>
      </c>
      <c r="K128" s="6" t="s">
        <v>33</v>
      </c>
      <c r="L128" s="6" t="s">
        <v>53</v>
      </c>
      <c r="M128" s="12">
        <v>226</v>
      </c>
      <c r="N128" s="2">
        <v>65.8</v>
      </c>
      <c r="O128" s="4">
        <v>0.19329999999999997</v>
      </c>
      <c r="P128" s="2">
        <v>14870.8</v>
      </c>
      <c r="Q128" s="2">
        <v>1317.4</v>
      </c>
      <c r="R128" s="2">
        <v>8187.2</v>
      </c>
      <c r="S128" s="2">
        <v>579.25</v>
      </c>
      <c r="T128" s="2">
        <v>11996.274359999999</v>
      </c>
      <c r="U128" s="2">
        <v>1912.4243599999995</v>
      </c>
      <c r="V128" s="5">
        <v>0.15941819123249859</v>
      </c>
    </row>
    <row r="129" spans="1:22" x14ac:dyDescent="0.3">
      <c r="A129">
        <f t="shared" si="1"/>
        <v>128</v>
      </c>
      <c r="B129" t="s">
        <v>213</v>
      </c>
      <c r="C129" s="1">
        <v>45670</v>
      </c>
      <c r="D129" t="s">
        <v>44</v>
      </c>
      <c r="E129" s="6" t="s">
        <v>663</v>
      </c>
      <c r="F129" s="6" t="s">
        <v>21</v>
      </c>
      <c r="G129" s="6" t="s">
        <v>43</v>
      </c>
      <c r="H129" t="s">
        <v>15</v>
      </c>
      <c r="I129" s="6" t="s">
        <v>23</v>
      </c>
      <c r="J129" s="6" t="s">
        <v>32</v>
      </c>
      <c r="K129" s="6" t="s">
        <v>46</v>
      </c>
      <c r="L129" s="6" t="s">
        <v>51</v>
      </c>
      <c r="M129" s="12">
        <v>39</v>
      </c>
      <c r="N129" s="2">
        <v>155.75</v>
      </c>
      <c r="O129" s="4">
        <v>2.4300000000000002E-2</v>
      </c>
      <c r="P129" s="2">
        <v>6074.25</v>
      </c>
      <c r="Q129" s="2">
        <v>939.4</v>
      </c>
      <c r="R129" s="2">
        <v>2856.35</v>
      </c>
      <c r="S129" s="2">
        <v>639.80000000000007</v>
      </c>
      <c r="T129" s="2">
        <v>5926.6457250000003</v>
      </c>
      <c r="U129" s="2">
        <v>1491.0957250000001</v>
      </c>
      <c r="V129" s="5">
        <v>0.25159184371527454</v>
      </c>
    </row>
    <row r="130" spans="1:22" x14ac:dyDescent="0.3">
      <c r="A130">
        <f t="shared" ref="A130:A193" si="2">ROW(B129)</f>
        <v>129</v>
      </c>
      <c r="B130" t="s">
        <v>214</v>
      </c>
      <c r="C130" s="1">
        <v>45838</v>
      </c>
      <c r="D130" t="s">
        <v>58</v>
      </c>
      <c r="E130" s="6" t="s">
        <v>662</v>
      </c>
      <c r="F130" s="6" t="s">
        <v>42</v>
      </c>
      <c r="G130" s="6" t="s">
        <v>68</v>
      </c>
      <c r="H130" t="s">
        <v>15</v>
      </c>
      <c r="I130" s="6" t="s">
        <v>16</v>
      </c>
      <c r="J130" s="6" t="s">
        <v>24</v>
      </c>
      <c r="K130" s="6" t="s">
        <v>33</v>
      </c>
      <c r="L130" s="6" t="s">
        <v>34</v>
      </c>
      <c r="M130" s="12">
        <v>193</v>
      </c>
      <c r="N130" s="2">
        <v>94.149999999999991</v>
      </c>
      <c r="O130" s="4">
        <v>0.1656</v>
      </c>
      <c r="P130" s="2">
        <v>18170.949999999997</v>
      </c>
      <c r="Q130" s="2">
        <v>2065</v>
      </c>
      <c r="R130" s="2">
        <v>8418.5499999999993</v>
      </c>
      <c r="S130" s="2">
        <v>1045.0999999999999</v>
      </c>
      <c r="T130" s="2">
        <v>15161.840679999998</v>
      </c>
      <c r="U130" s="2">
        <v>3633.1906799999979</v>
      </c>
      <c r="V130" s="5">
        <v>0.23962728251013377</v>
      </c>
    </row>
    <row r="131" spans="1:22" x14ac:dyDescent="0.3">
      <c r="A131">
        <f t="shared" si="2"/>
        <v>130</v>
      </c>
      <c r="B131" t="s">
        <v>215</v>
      </c>
      <c r="C131" s="1">
        <v>45661</v>
      </c>
      <c r="D131" t="s">
        <v>44</v>
      </c>
      <c r="E131" s="6" t="s">
        <v>662</v>
      </c>
      <c r="F131" s="6" t="s">
        <v>42</v>
      </c>
      <c r="G131" s="6" t="s">
        <v>43</v>
      </c>
      <c r="H131" t="s">
        <v>27</v>
      </c>
      <c r="I131" s="6" t="s">
        <v>16</v>
      </c>
      <c r="J131" s="6" t="s">
        <v>84</v>
      </c>
      <c r="K131" s="6" t="s">
        <v>37</v>
      </c>
      <c r="L131" s="6" t="s">
        <v>90</v>
      </c>
      <c r="M131" s="12">
        <v>255</v>
      </c>
      <c r="N131" s="2">
        <v>152.25</v>
      </c>
      <c r="O131" s="4">
        <v>0.22769999999999999</v>
      </c>
      <c r="P131" s="2">
        <v>38823.75</v>
      </c>
      <c r="Q131" s="2">
        <v>4774.7</v>
      </c>
      <c r="R131" s="2">
        <v>16903.599999999999</v>
      </c>
      <c r="S131" s="2">
        <v>2111.9</v>
      </c>
      <c r="T131" s="2">
        <v>29983.582125000001</v>
      </c>
      <c r="U131" s="2">
        <v>6193.382125000001</v>
      </c>
      <c r="V131" s="5">
        <v>0.20655911288985124</v>
      </c>
    </row>
    <row r="132" spans="1:22" x14ac:dyDescent="0.3">
      <c r="A132">
        <f t="shared" si="2"/>
        <v>131</v>
      </c>
      <c r="B132" t="s">
        <v>216</v>
      </c>
      <c r="C132" s="1">
        <v>45782</v>
      </c>
      <c r="D132" t="s">
        <v>30</v>
      </c>
      <c r="E132" s="6" t="s">
        <v>662</v>
      </c>
      <c r="F132" s="6" t="s">
        <v>42</v>
      </c>
      <c r="G132" s="6" t="s">
        <v>64</v>
      </c>
      <c r="H132" t="s">
        <v>27</v>
      </c>
      <c r="I132" s="6" t="s">
        <v>28</v>
      </c>
      <c r="J132" s="6" t="s">
        <v>24</v>
      </c>
      <c r="K132" s="6" t="s">
        <v>46</v>
      </c>
      <c r="L132" s="6" t="s">
        <v>89</v>
      </c>
      <c r="M132" s="12">
        <v>220</v>
      </c>
      <c r="N132" s="2">
        <v>87.5</v>
      </c>
      <c r="O132" s="4">
        <v>0.13400000000000001</v>
      </c>
      <c r="P132" s="2">
        <v>19250</v>
      </c>
      <c r="Q132" s="2">
        <v>1614.5500000000002</v>
      </c>
      <c r="R132" s="2">
        <v>9790.9</v>
      </c>
      <c r="S132" s="2">
        <v>1115.0999999999999</v>
      </c>
      <c r="T132" s="2">
        <v>16670.5</v>
      </c>
      <c r="U132" s="2">
        <v>4149.95</v>
      </c>
      <c r="V132" s="5">
        <v>0.24893974385891243</v>
      </c>
    </row>
    <row r="133" spans="1:22" x14ac:dyDescent="0.3">
      <c r="A133">
        <f t="shared" si="2"/>
        <v>132</v>
      </c>
      <c r="B133" t="s">
        <v>217</v>
      </c>
      <c r="C133" s="1">
        <v>45954</v>
      </c>
      <c r="D133" t="s">
        <v>20</v>
      </c>
      <c r="E133" s="6" t="s">
        <v>662</v>
      </c>
      <c r="F133" s="6" t="s">
        <v>66</v>
      </c>
      <c r="G133" s="6" t="s">
        <v>22</v>
      </c>
      <c r="H133" t="s">
        <v>27</v>
      </c>
      <c r="I133" s="6" t="s">
        <v>31</v>
      </c>
      <c r="J133" s="6" t="s">
        <v>32</v>
      </c>
      <c r="K133" s="6" t="s">
        <v>33</v>
      </c>
      <c r="L133" s="6" t="s">
        <v>78</v>
      </c>
      <c r="M133" s="12">
        <v>916</v>
      </c>
      <c r="N133" s="2">
        <v>84.350000000000009</v>
      </c>
      <c r="O133" s="4">
        <v>0.1153</v>
      </c>
      <c r="P133" s="2">
        <v>77264.600000000006</v>
      </c>
      <c r="Q133" s="2">
        <v>4089.4</v>
      </c>
      <c r="R133" s="2">
        <v>41658.75</v>
      </c>
      <c r="S133" s="2">
        <v>2853.2</v>
      </c>
      <c r="T133" s="2">
        <v>68355.991620000015</v>
      </c>
      <c r="U133" s="2">
        <v>19754.641620000017</v>
      </c>
      <c r="V133" s="5">
        <v>0.28899648958087942</v>
      </c>
    </row>
    <row r="134" spans="1:22" x14ac:dyDescent="0.3">
      <c r="A134">
        <f t="shared" si="2"/>
        <v>133</v>
      </c>
      <c r="B134" t="s">
        <v>218</v>
      </c>
      <c r="C134" s="1">
        <v>45677</v>
      </c>
      <c r="D134" t="s">
        <v>44</v>
      </c>
      <c r="E134" s="6" t="s">
        <v>662</v>
      </c>
      <c r="F134" s="6" t="s">
        <v>66</v>
      </c>
      <c r="G134" s="6" t="s">
        <v>69</v>
      </c>
      <c r="H134" t="s">
        <v>15</v>
      </c>
      <c r="I134" s="6" t="s">
        <v>23</v>
      </c>
      <c r="J134" s="6" t="s">
        <v>32</v>
      </c>
      <c r="K134" s="6" t="s">
        <v>18</v>
      </c>
      <c r="L134" s="6" t="s">
        <v>80</v>
      </c>
      <c r="M134" s="12">
        <v>18</v>
      </c>
      <c r="N134" s="2">
        <v>79.099999999999994</v>
      </c>
      <c r="O134" s="4">
        <v>4.2800000000000005E-2</v>
      </c>
      <c r="P134" s="2">
        <v>1423.8</v>
      </c>
      <c r="Q134" s="2">
        <v>187.95000000000002</v>
      </c>
      <c r="R134" s="2">
        <v>655.19999999999993</v>
      </c>
      <c r="S134" s="2">
        <v>142.45000000000002</v>
      </c>
      <c r="T134" s="2">
        <v>1362.8613600000001</v>
      </c>
      <c r="U134" s="2">
        <v>377.26136000000008</v>
      </c>
      <c r="V134" s="5">
        <v>0.27681565496874905</v>
      </c>
    </row>
    <row r="135" spans="1:22" x14ac:dyDescent="0.3">
      <c r="A135">
        <f t="shared" si="2"/>
        <v>134</v>
      </c>
      <c r="B135" t="s">
        <v>219</v>
      </c>
      <c r="C135" s="1">
        <v>45665</v>
      </c>
      <c r="D135" t="s">
        <v>44</v>
      </c>
      <c r="E135" s="6" t="s">
        <v>662</v>
      </c>
      <c r="F135" s="6" t="s">
        <v>66</v>
      </c>
      <c r="G135" s="6" t="s">
        <v>22</v>
      </c>
      <c r="H135" t="s">
        <v>15</v>
      </c>
      <c r="I135" s="6" t="s">
        <v>23</v>
      </c>
      <c r="J135" s="6" t="s">
        <v>32</v>
      </c>
      <c r="K135" s="6" t="s">
        <v>46</v>
      </c>
      <c r="L135" s="6" t="s">
        <v>76</v>
      </c>
      <c r="M135" s="12">
        <v>14</v>
      </c>
      <c r="N135" s="2">
        <v>298.54999999999995</v>
      </c>
      <c r="O135" s="4">
        <v>4.6300000000000001E-2</v>
      </c>
      <c r="P135" s="2">
        <v>4179.6999999999989</v>
      </c>
      <c r="Q135" s="2">
        <v>545.65</v>
      </c>
      <c r="R135" s="2">
        <v>2395.4</v>
      </c>
      <c r="S135" s="2">
        <v>417.2</v>
      </c>
      <c r="T135" s="2">
        <v>3986.179889999999</v>
      </c>
      <c r="U135" s="2">
        <v>627.92988999999909</v>
      </c>
      <c r="V135" s="5">
        <v>0.1575267316899738</v>
      </c>
    </row>
    <row r="136" spans="1:22" x14ac:dyDescent="0.3">
      <c r="A136">
        <f t="shared" si="2"/>
        <v>135</v>
      </c>
      <c r="B136" t="s">
        <v>220</v>
      </c>
      <c r="C136" s="1">
        <v>45782</v>
      </c>
      <c r="D136" t="s">
        <v>30</v>
      </c>
      <c r="E136" s="6" t="s">
        <v>664</v>
      </c>
      <c r="F136" s="6" t="s">
        <v>63</v>
      </c>
      <c r="G136" s="6" t="s">
        <v>64</v>
      </c>
      <c r="H136" t="s">
        <v>15</v>
      </c>
      <c r="I136" s="6" t="s">
        <v>23</v>
      </c>
      <c r="J136" s="6" t="s">
        <v>32</v>
      </c>
      <c r="K136" s="6" t="s">
        <v>48</v>
      </c>
      <c r="L136" s="6" t="s">
        <v>62</v>
      </c>
      <c r="M136" s="12">
        <v>17</v>
      </c>
      <c r="N136" s="2">
        <v>246.4</v>
      </c>
      <c r="O136" s="4">
        <v>1.8500000000000003E-2</v>
      </c>
      <c r="P136" s="2">
        <v>4188.8</v>
      </c>
      <c r="Q136" s="2">
        <v>522.20000000000005</v>
      </c>
      <c r="R136" s="2">
        <v>2941.75</v>
      </c>
      <c r="S136" s="2">
        <v>457.1</v>
      </c>
      <c r="T136" s="2">
        <v>4111.3072000000002</v>
      </c>
      <c r="U136" s="2">
        <v>190.25720000000024</v>
      </c>
      <c r="V136" s="5">
        <v>4.6276571111008254E-2</v>
      </c>
    </row>
    <row r="137" spans="1:22" x14ac:dyDescent="0.3">
      <c r="A137">
        <f t="shared" si="2"/>
        <v>136</v>
      </c>
      <c r="B137" t="s">
        <v>221</v>
      </c>
      <c r="C137" s="1">
        <v>45993</v>
      </c>
      <c r="D137" t="s">
        <v>50</v>
      </c>
      <c r="E137" s="6" t="s">
        <v>662</v>
      </c>
      <c r="F137" s="6" t="s">
        <v>66</v>
      </c>
      <c r="G137" s="6" t="s">
        <v>39</v>
      </c>
      <c r="H137" t="s">
        <v>15</v>
      </c>
      <c r="I137" s="6" t="s">
        <v>23</v>
      </c>
      <c r="J137" s="6" t="s">
        <v>17</v>
      </c>
      <c r="K137" s="6" t="s">
        <v>48</v>
      </c>
      <c r="L137" s="6" t="s">
        <v>62</v>
      </c>
      <c r="M137" s="12">
        <v>55</v>
      </c>
      <c r="N137" s="2">
        <v>278.25</v>
      </c>
      <c r="O137" s="4">
        <v>0.1197</v>
      </c>
      <c r="P137" s="2">
        <v>15303.75</v>
      </c>
      <c r="Q137" s="2">
        <v>6131.3</v>
      </c>
      <c r="R137" s="2">
        <v>9900.4500000000007</v>
      </c>
      <c r="S137" s="2">
        <v>1487.15</v>
      </c>
      <c r="T137" s="2">
        <v>13471.891125</v>
      </c>
      <c r="U137" s="2">
        <v>-4047.0088750000004</v>
      </c>
      <c r="V137" s="5">
        <v>-0.30040391786494641</v>
      </c>
    </row>
    <row r="138" spans="1:22" x14ac:dyDescent="0.3">
      <c r="A138">
        <f t="shared" si="2"/>
        <v>137</v>
      </c>
      <c r="B138" t="s">
        <v>222</v>
      </c>
      <c r="C138" s="1">
        <v>45695</v>
      </c>
      <c r="D138" t="s">
        <v>55</v>
      </c>
      <c r="E138" s="6" t="s">
        <v>663</v>
      </c>
      <c r="F138" s="6" t="s">
        <v>21</v>
      </c>
      <c r="G138" s="6" t="s">
        <v>22</v>
      </c>
      <c r="H138" t="s">
        <v>15</v>
      </c>
      <c r="I138" s="6" t="s">
        <v>23</v>
      </c>
      <c r="J138" s="6" t="s">
        <v>36</v>
      </c>
      <c r="K138" s="6" t="s">
        <v>18</v>
      </c>
      <c r="L138" s="6" t="s">
        <v>19</v>
      </c>
      <c r="M138" s="12">
        <v>18</v>
      </c>
      <c r="N138" s="2">
        <v>190.4</v>
      </c>
      <c r="O138" s="4">
        <v>9.6300000000000011E-2</v>
      </c>
      <c r="P138" s="2">
        <v>3427.2000000000003</v>
      </c>
      <c r="Q138" s="2">
        <v>435.05</v>
      </c>
      <c r="R138" s="2">
        <v>1848.3500000000001</v>
      </c>
      <c r="S138" s="2">
        <v>291.55</v>
      </c>
      <c r="T138" s="2">
        <v>3097.1606400000001</v>
      </c>
      <c r="U138" s="2">
        <v>522.21063999999978</v>
      </c>
      <c r="V138" s="5">
        <v>0.16860947838985832</v>
      </c>
    </row>
    <row r="139" spans="1:22" x14ac:dyDescent="0.3">
      <c r="A139">
        <f t="shared" si="2"/>
        <v>138</v>
      </c>
      <c r="B139" t="s">
        <v>223</v>
      </c>
      <c r="C139" s="1">
        <v>45754</v>
      </c>
      <c r="D139" t="s">
        <v>61</v>
      </c>
      <c r="E139" s="6" t="s">
        <v>663</v>
      </c>
      <c r="F139" s="6" t="s">
        <v>21</v>
      </c>
      <c r="G139" s="6" t="s">
        <v>68</v>
      </c>
      <c r="H139" t="s">
        <v>27</v>
      </c>
      <c r="I139" s="6" t="s">
        <v>16</v>
      </c>
      <c r="J139" s="6" t="s">
        <v>52</v>
      </c>
      <c r="K139" s="6" t="s">
        <v>46</v>
      </c>
      <c r="L139" s="6" t="s">
        <v>83</v>
      </c>
      <c r="M139" s="12">
        <v>42</v>
      </c>
      <c r="N139" s="2">
        <v>121.1</v>
      </c>
      <c r="O139" s="4">
        <v>0.20480000000000001</v>
      </c>
      <c r="P139" s="2">
        <v>5086.2</v>
      </c>
      <c r="Q139" s="2">
        <v>633.85</v>
      </c>
      <c r="R139" s="2">
        <v>2167.2000000000003</v>
      </c>
      <c r="S139" s="2">
        <v>340.55</v>
      </c>
      <c r="T139" s="2">
        <v>4044.5462400000001</v>
      </c>
      <c r="U139" s="2">
        <v>902.94623999999965</v>
      </c>
      <c r="V139" s="5">
        <v>0.22325031942272952</v>
      </c>
    </row>
    <row r="140" spans="1:22" x14ac:dyDescent="0.3">
      <c r="A140">
        <f t="shared" si="2"/>
        <v>139</v>
      </c>
      <c r="B140" t="s">
        <v>224</v>
      </c>
      <c r="C140" s="1">
        <v>45897</v>
      </c>
      <c r="D140" t="s">
        <v>35</v>
      </c>
      <c r="E140" s="6" t="s">
        <v>664</v>
      </c>
      <c r="F140" s="6" t="s">
        <v>63</v>
      </c>
      <c r="G140" s="6" t="s">
        <v>43</v>
      </c>
      <c r="H140" t="s">
        <v>27</v>
      </c>
      <c r="I140" s="6" t="s">
        <v>16</v>
      </c>
      <c r="J140" s="6" t="s">
        <v>17</v>
      </c>
      <c r="K140" s="6" t="s">
        <v>48</v>
      </c>
      <c r="L140" s="6" t="s">
        <v>74</v>
      </c>
      <c r="M140" s="12">
        <v>195</v>
      </c>
      <c r="N140" s="2">
        <v>142.1</v>
      </c>
      <c r="O140" s="4">
        <v>0.14710000000000001</v>
      </c>
      <c r="P140" s="2">
        <v>27709.5</v>
      </c>
      <c r="Q140" s="2">
        <v>9042.6</v>
      </c>
      <c r="R140" s="2">
        <v>15107.75</v>
      </c>
      <c r="S140" s="2">
        <v>1799.35</v>
      </c>
      <c r="T140" s="2">
        <v>23633.432550000001</v>
      </c>
      <c r="U140" s="2">
        <v>-2316.2674499999976</v>
      </c>
      <c r="V140" s="5">
        <v>-9.8008084314438595E-2</v>
      </c>
    </row>
    <row r="141" spans="1:22" x14ac:dyDescent="0.3">
      <c r="A141">
        <f t="shared" si="2"/>
        <v>140</v>
      </c>
      <c r="B141" t="s">
        <v>225</v>
      </c>
      <c r="C141" s="1">
        <v>45869</v>
      </c>
      <c r="D141" t="s">
        <v>26</v>
      </c>
      <c r="E141" s="6" t="s">
        <v>664</v>
      </c>
      <c r="F141" s="6" t="s">
        <v>63</v>
      </c>
      <c r="G141" s="6" t="s">
        <v>64</v>
      </c>
      <c r="H141" t="s">
        <v>27</v>
      </c>
      <c r="I141" s="6" t="s">
        <v>28</v>
      </c>
      <c r="J141" s="6" t="s">
        <v>32</v>
      </c>
      <c r="K141" s="6" t="s">
        <v>46</v>
      </c>
      <c r="L141" s="6" t="s">
        <v>89</v>
      </c>
      <c r="M141" s="12">
        <v>437</v>
      </c>
      <c r="N141" s="2">
        <v>88.2</v>
      </c>
      <c r="O141" s="4">
        <v>0.1012</v>
      </c>
      <c r="P141" s="2">
        <v>38543.4</v>
      </c>
      <c r="Q141" s="2">
        <v>2013.55</v>
      </c>
      <c r="R141" s="2">
        <v>18020.8</v>
      </c>
      <c r="S141" s="2">
        <v>2226.35</v>
      </c>
      <c r="T141" s="2">
        <v>34642.807920000007</v>
      </c>
      <c r="U141" s="2">
        <v>12382.107920000009</v>
      </c>
      <c r="V141" s="5">
        <v>0.3574221797665415</v>
      </c>
    </row>
    <row r="142" spans="1:22" x14ac:dyDescent="0.3">
      <c r="A142">
        <f t="shared" si="2"/>
        <v>141</v>
      </c>
      <c r="B142" t="s">
        <v>226</v>
      </c>
      <c r="C142" s="1">
        <v>45742</v>
      </c>
      <c r="D142" t="s">
        <v>41</v>
      </c>
      <c r="E142" s="6" t="s">
        <v>664</v>
      </c>
      <c r="F142" s="6" t="s">
        <v>63</v>
      </c>
      <c r="G142" s="6" t="s">
        <v>68</v>
      </c>
      <c r="H142" t="s">
        <v>15</v>
      </c>
      <c r="I142" s="6" t="s">
        <v>16</v>
      </c>
      <c r="J142" s="6" t="s">
        <v>36</v>
      </c>
      <c r="K142" s="6" t="s">
        <v>48</v>
      </c>
      <c r="L142" s="6" t="s">
        <v>49</v>
      </c>
      <c r="M142" s="12">
        <v>245</v>
      </c>
      <c r="N142" s="2">
        <v>122.15</v>
      </c>
      <c r="O142" s="4">
        <v>0.11939999999999999</v>
      </c>
      <c r="P142" s="2">
        <v>29926.75</v>
      </c>
      <c r="Q142" s="2">
        <v>2534</v>
      </c>
      <c r="R142" s="2">
        <v>16027.2</v>
      </c>
      <c r="S142" s="2">
        <v>1980.65</v>
      </c>
      <c r="T142" s="2">
        <v>26353.496050000002</v>
      </c>
      <c r="U142" s="2">
        <v>5811.6460499999994</v>
      </c>
      <c r="V142" s="5">
        <v>0.22052656842847987</v>
      </c>
    </row>
    <row r="143" spans="1:22" x14ac:dyDescent="0.3">
      <c r="A143">
        <f t="shared" si="2"/>
        <v>142</v>
      </c>
      <c r="B143" t="s">
        <v>227</v>
      </c>
      <c r="C143" s="1">
        <v>45725</v>
      </c>
      <c r="D143" t="s">
        <v>41</v>
      </c>
      <c r="E143" s="6" t="s">
        <v>662</v>
      </c>
      <c r="F143" s="6" t="s">
        <v>66</v>
      </c>
      <c r="G143" s="6" t="s">
        <v>64</v>
      </c>
      <c r="H143" t="s">
        <v>15</v>
      </c>
      <c r="I143" s="6" t="s">
        <v>23</v>
      </c>
      <c r="J143" s="6" t="s">
        <v>45</v>
      </c>
      <c r="K143" s="6" t="s">
        <v>37</v>
      </c>
      <c r="L143" s="6" t="s">
        <v>77</v>
      </c>
      <c r="M143" s="12">
        <v>90</v>
      </c>
      <c r="N143" s="2">
        <v>170.45000000000002</v>
      </c>
      <c r="O143" s="4">
        <v>0.15570000000000001</v>
      </c>
      <c r="P143" s="2">
        <v>15340.500000000002</v>
      </c>
      <c r="Q143" s="2">
        <v>2671.5499999999997</v>
      </c>
      <c r="R143" s="2">
        <v>7296.1</v>
      </c>
      <c r="S143" s="2">
        <v>1276.8</v>
      </c>
      <c r="T143" s="2">
        <v>12951.984150000002</v>
      </c>
      <c r="U143" s="2">
        <v>1707.5341500000027</v>
      </c>
      <c r="V143" s="5">
        <v>0.13183571954880768</v>
      </c>
    </row>
    <row r="144" spans="1:22" x14ac:dyDescent="0.3">
      <c r="A144">
        <f t="shared" si="2"/>
        <v>143</v>
      </c>
      <c r="B144" t="s">
        <v>228</v>
      </c>
      <c r="C144" s="1">
        <v>45911</v>
      </c>
      <c r="D144" t="s">
        <v>14</v>
      </c>
      <c r="E144" s="6" t="s">
        <v>664</v>
      </c>
      <c r="F144" s="6" t="s">
        <v>63</v>
      </c>
      <c r="G144" s="6" t="s">
        <v>68</v>
      </c>
      <c r="H144" t="s">
        <v>27</v>
      </c>
      <c r="I144" s="6" t="s">
        <v>28</v>
      </c>
      <c r="J144" s="6" t="s">
        <v>84</v>
      </c>
      <c r="K144" s="6" t="s">
        <v>18</v>
      </c>
      <c r="L144" s="6" t="s">
        <v>19</v>
      </c>
      <c r="M144" s="12">
        <v>251</v>
      </c>
      <c r="N144" s="2">
        <v>206.14999999999998</v>
      </c>
      <c r="O144" s="4">
        <v>0.25700000000000001</v>
      </c>
      <c r="P144" s="2">
        <v>51743.649999999994</v>
      </c>
      <c r="Q144" s="2">
        <v>4748.45</v>
      </c>
      <c r="R144" s="2">
        <v>21679</v>
      </c>
      <c r="S144" s="2">
        <v>1899.1</v>
      </c>
      <c r="T144" s="2">
        <v>38445.531949999997</v>
      </c>
      <c r="U144" s="2">
        <v>10118.981949999998</v>
      </c>
      <c r="V144" s="5">
        <v>0.26320306773645769</v>
      </c>
    </row>
    <row r="145" spans="1:22" x14ac:dyDescent="0.3">
      <c r="A145">
        <f t="shared" si="2"/>
        <v>144</v>
      </c>
      <c r="B145" t="s">
        <v>229</v>
      </c>
      <c r="C145" s="1">
        <v>45947</v>
      </c>
      <c r="D145" t="s">
        <v>20</v>
      </c>
      <c r="E145" s="6" t="s">
        <v>662</v>
      </c>
      <c r="F145" s="6" t="s">
        <v>42</v>
      </c>
      <c r="G145" s="6" t="s">
        <v>64</v>
      </c>
      <c r="H145" t="s">
        <v>27</v>
      </c>
      <c r="I145" s="6" t="s">
        <v>16</v>
      </c>
      <c r="J145" s="6" t="s">
        <v>32</v>
      </c>
      <c r="K145" s="6" t="s">
        <v>37</v>
      </c>
      <c r="L145" s="6" t="s">
        <v>60</v>
      </c>
      <c r="M145" s="12">
        <v>211</v>
      </c>
      <c r="N145" s="2">
        <v>170.10000000000002</v>
      </c>
      <c r="O145" s="4">
        <v>0.12390000000000001</v>
      </c>
      <c r="P145" s="2">
        <v>35891.100000000006</v>
      </c>
      <c r="Q145" s="2">
        <v>2717.0499999999997</v>
      </c>
      <c r="R145" s="2">
        <v>18935.349999999999</v>
      </c>
      <c r="S145" s="2">
        <v>2149.7000000000003</v>
      </c>
      <c r="T145" s="2">
        <v>31444.192710000003</v>
      </c>
      <c r="U145" s="2">
        <v>7642.0927100000044</v>
      </c>
      <c r="V145" s="5">
        <v>0.24303669617091606</v>
      </c>
    </row>
    <row r="146" spans="1:22" x14ac:dyDescent="0.3">
      <c r="A146">
        <f t="shared" si="2"/>
        <v>145</v>
      </c>
      <c r="B146" t="s">
        <v>230</v>
      </c>
      <c r="C146" s="1">
        <v>45926</v>
      </c>
      <c r="D146" t="s">
        <v>14</v>
      </c>
      <c r="E146" s="6" t="s">
        <v>664</v>
      </c>
      <c r="F146" s="6" t="s">
        <v>63</v>
      </c>
      <c r="G146" s="6" t="s">
        <v>69</v>
      </c>
      <c r="H146" t="s">
        <v>15</v>
      </c>
      <c r="I146" s="6" t="s">
        <v>23</v>
      </c>
      <c r="J146" s="6" t="s">
        <v>32</v>
      </c>
      <c r="K146" s="6" t="s">
        <v>48</v>
      </c>
      <c r="L146" s="6" t="s">
        <v>74</v>
      </c>
      <c r="M146" s="12">
        <v>32</v>
      </c>
      <c r="N146" s="2">
        <v>158.9</v>
      </c>
      <c r="O146" s="4">
        <v>2.0099999999999996E-2</v>
      </c>
      <c r="P146" s="2">
        <v>5084.8</v>
      </c>
      <c r="Q146" s="2">
        <v>596.75</v>
      </c>
      <c r="R146" s="2">
        <v>3209.15</v>
      </c>
      <c r="S146" s="2">
        <v>610.04999999999995</v>
      </c>
      <c r="T146" s="2">
        <v>4982.5955199999999</v>
      </c>
      <c r="U146" s="2">
        <v>566.64551999999958</v>
      </c>
      <c r="V146" s="5">
        <v>0.11372496878895752</v>
      </c>
    </row>
    <row r="147" spans="1:22" x14ac:dyDescent="0.3">
      <c r="A147">
        <f t="shared" si="2"/>
        <v>146</v>
      </c>
      <c r="B147" t="s">
        <v>231</v>
      </c>
      <c r="C147" s="1">
        <v>45872</v>
      </c>
      <c r="D147" t="s">
        <v>35</v>
      </c>
      <c r="E147" s="6" t="s">
        <v>663</v>
      </c>
      <c r="F147" s="6" t="s">
        <v>21</v>
      </c>
      <c r="G147" s="6" t="s">
        <v>82</v>
      </c>
      <c r="H147" t="s">
        <v>27</v>
      </c>
      <c r="I147" s="6" t="s">
        <v>16</v>
      </c>
      <c r="J147" s="6" t="s">
        <v>17</v>
      </c>
      <c r="K147" s="6" t="s">
        <v>46</v>
      </c>
      <c r="L147" s="6" t="s">
        <v>89</v>
      </c>
      <c r="M147" s="12">
        <v>185</v>
      </c>
      <c r="N147" s="2">
        <v>85.75</v>
      </c>
      <c r="O147" s="4">
        <v>0.1341</v>
      </c>
      <c r="P147" s="2">
        <v>15863.75</v>
      </c>
      <c r="Q147" s="2">
        <v>1625.75</v>
      </c>
      <c r="R147" s="2">
        <v>7644.7</v>
      </c>
      <c r="S147" s="2">
        <v>1014.65</v>
      </c>
      <c r="T147" s="2">
        <v>13736.421125000001</v>
      </c>
      <c r="U147" s="2">
        <v>3451.3211250000013</v>
      </c>
      <c r="V147" s="5">
        <v>0.25125329906482474</v>
      </c>
    </row>
    <row r="148" spans="1:22" x14ac:dyDescent="0.3">
      <c r="A148">
        <f t="shared" si="2"/>
        <v>147</v>
      </c>
      <c r="B148" t="s">
        <v>232</v>
      </c>
      <c r="C148" s="1">
        <v>45912</v>
      </c>
      <c r="D148" t="s">
        <v>14</v>
      </c>
      <c r="E148" s="6" t="s">
        <v>664</v>
      </c>
      <c r="F148" s="6" t="s">
        <v>63</v>
      </c>
      <c r="G148" s="6" t="s">
        <v>22</v>
      </c>
      <c r="H148" t="s">
        <v>15</v>
      </c>
      <c r="I148" s="6" t="s">
        <v>23</v>
      </c>
      <c r="J148" s="6" t="s">
        <v>24</v>
      </c>
      <c r="K148" s="6" t="s">
        <v>33</v>
      </c>
      <c r="L148" s="6" t="s">
        <v>78</v>
      </c>
      <c r="M148" s="12">
        <v>16</v>
      </c>
      <c r="N148" s="2">
        <v>90.3</v>
      </c>
      <c r="O148" s="4">
        <v>8.4199999999999997E-2</v>
      </c>
      <c r="P148" s="2">
        <v>1444.8</v>
      </c>
      <c r="Q148" s="2">
        <v>218.4</v>
      </c>
      <c r="R148" s="2">
        <v>835.8</v>
      </c>
      <c r="S148" s="2">
        <v>132.65</v>
      </c>
      <c r="T148" s="2">
        <v>1323.1478399999999</v>
      </c>
      <c r="U148" s="2">
        <v>136.29783999999981</v>
      </c>
      <c r="V148" s="5">
        <v>0.10301028795089127</v>
      </c>
    </row>
    <row r="149" spans="1:22" x14ac:dyDescent="0.3">
      <c r="A149">
        <f t="shared" si="2"/>
        <v>148</v>
      </c>
      <c r="B149" t="s">
        <v>233</v>
      </c>
      <c r="C149" s="1">
        <v>45873</v>
      </c>
      <c r="D149" t="s">
        <v>35</v>
      </c>
      <c r="E149" s="6" t="s">
        <v>664</v>
      </c>
      <c r="F149" s="6" t="s">
        <v>63</v>
      </c>
      <c r="G149" s="6" t="s">
        <v>68</v>
      </c>
      <c r="H149" t="s">
        <v>27</v>
      </c>
      <c r="I149" s="6" t="s">
        <v>28</v>
      </c>
      <c r="J149" s="6" t="s">
        <v>24</v>
      </c>
      <c r="K149" s="6" t="s">
        <v>46</v>
      </c>
      <c r="L149" s="6" t="s">
        <v>47</v>
      </c>
      <c r="M149" s="12">
        <v>443</v>
      </c>
      <c r="N149" s="2">
        <v>171.85</v>
      </c>
      <c r="O149" s="4">
        <v>0.17960000000000001</v>
      </c>
      <c r="P149" s="2">
        <v>76129.55</v>
      </c>
      <c r="Q149" s="2">
        <v>5998.65</v>
      </c>
      <c r="R149" s="2">
        <v>34273.050000000003</v>
      </c>
      <c r="S149" s="2">
        <v>4436.95</v>
      </c>
      <c r="T149" s="2">
        <v>62456.682820000002</v>
      </c>
      <c r="U149" s="2">
        <v>17748.03282</v>
      </c>
      <c r="V149" s="5">
        <v>0.28416547307114892</v>
      </c>
    </row>
    <row r="150" spans="1:22" x14ac:dyDescent="0.3">
      <c r="A150">
        <f t="shared" si="2"/>
        <v>149</v>
      </c>
      <c r="B150" t="s">
        <v>234</v>
      </c>
      <c r="C150" s="1">
        <v>45804</v>
      </c>
      <c r="D150" t="s">
        <v>30</v>
      </c>
      <c r="E150" s="6" t="s">
        <v>663</v>
      </c>
      <c r="F150" s="6" t="s">
        <v>21</v>
      </c>
      <c r="G150" s="6" t="s">
        <v>65</v>
      </c>
      <c r="H150" t="s">
        <v>27</v>
      </c>
      <c r="I150" s="6" t="s">
        <v>31</v>
      </c>
      <c r="J150" s="6" t="s">
        <v>32</v>
      </c>
      <c r="K150" s="6" t="s">
        <v>18</v>
      </c>
      <c r="L150" s="6" t="s">
        <v>80</v>
      </c>
      <c r="M150" s="12">
        <v>664</v>
      </c>
      <c r="N150" s="2">
        <v>72.8</v>
      </c>
      <c r="O150" s="4">
        <v>8.9700000000000002E-2</v>
      </c>
      <c r="P150" s="2">
        <v>48339.199999999997</v>
      </c>
      <c r="Q150" s="2">
        <v>1891.75</v>
      </c>
      <c r="R150" s="2">
        <v>21136.85</v>
      </c>
      <c r="S150" s="2">
        <v>1913.8</v>
      </c>
      <c r="T150" s="2">
        <v>44003.173759999998</v>
      </c>
      <c r="U150" s="2">
        <v>19060.773759999996</v>
      </c>
      <c r="V150" s="5">
        <v>0.43316815882327842</v>
      </c>
    </row>
    <row r="151" spans="1:22" x14ac:dyDescent="0.3">
      <c r="A151">
        <f t="shared" si="2"/>
        <v>150</v>
      </c>
      <c r="B151" t="s">
        <v>235</v>
      </c>
      <c r="C151" s="1">
        <v>45769</v>
      </c>
      <c r="D151" t="s">
        <v>61</v>
      </c>
      <c r="E151" s="6" t="s">
        <v>663</v>
      </c>
      <c r="F151" s="6" t="s">
        <v>21</v>
      </c>
      <c r="G151" s="6" t="s">
        <v>43</v>
      </c>
      <c r="H151" t="s">
        <v>27</v>
      </c>
      <c r="I151" s="6" t="s">
        <v>16</v>
      </c>
      <c r="J151" s="6" t="s">
        <v>32</v>
      </c>
      <c r="K151" s="6" t="s">
        <v>48</v>
      </c>
      <c r="L151" s="6" t="s">
        <v>56</v>
      </c>
      <c r="M151" s="12">
        <v>297</v>
      </c>
      <c r="N151" s="2">
        <v>119.35000000000001</v>
      </c>
      <c r="O151" s="4">
        <v>0.14360000000000001</v>
      </c>
      <c r="P151" s="2">
        <v>35446.950000000004</v>
      </c>
      <c r="Q151" s="2">
        <v>2832.9</v>
      </c>
      <c r="R151" s="2">
        <v>18922.05</v>
      </c>
      <c r="S151" s="2">
        <v>2300.1999999999998</v>
      </c>
      <c r="T151" s="2">
        <v>30356.767980000004</v>
      </c>
      <c r="U151" s="2">
        <v>6301.6179800000045</v>
      </c>
      <c r="V151" s="5">
        <v>0.20758527337797322</v>
      </c>
    </row>
    <row r="152" spans="1:22" x14ac:dyDescent="0.3">
      <c r="A152">
        <f t="shared" si="2"/>
        <v>151</v>
      </c>
      <c r="B152" t="s">
        <v>236</v>
      </c>
      <c r="C152" s="1">
        <v>45930</v>
      </c>
      <c r="D152" t="s">
        <v>14</v>
      </c>
      <c r="E152" s="6" t="s">
        <v>663</v>
      </c>
      <c r="F152" s="6" t="s">
        <v>21</v>
      </c>
      <c r="G152" s="6" t="s">
        <v>22</v>
      </c>
      <c r="H152" t="s">
        <v>27</v>
      </c>
      <c r="I152" s="6" t="s">
        <v>31</v>
      </c>
      <c r="J152" s="6" t="s">
        <v>24</v>
      </c>
      <c r="K152" s="6" t="s">
        <v>46</v>
      </c>
      <c r="L152" s="6" t="s">
        <v>89</v>
      </c>
      <c r="M152" s="12">
        <v>401</v>
      </c>
      <c r="N152" s="2">
        <v>88.55</v>
      </c>
      <c r="O152" s="4">
        <v>0.2208</v>
      </c>
      <c r="P152" s="2">
        <v>35508.549999999996</v>
      </c>
      <c r="Q152" s="2">
        <v>2263.4500000000003</v>
      </c>
      <c r="R152" s="2">
        <v>15058.75</v>
      </c>
      <c r="S152" s="2">
        <v>1445.1499999999999</v>
      </c>
      <c r="T152" s="2">
        <v>27668.262159999998</v>
      </c>
      <c r="U152" s="2">
        <v>8900.9121599999962</v>
      </c>
      <c r="V152" s="5">
        <v>0.32170116462421133</v>
      </c>
    </row>
    <row r="153" spans="1:22" x14ac:dyDescent="0.3">
      <c r="A153">
        <f t="shared" si="2"/>
        <v>152</v>
      </c>
      <c r="B153" t="s">
        <v>237</v>
      </c>
      <c r="C153" s="1">
        <v>45856</v>
      </c>
      <c r="D153" t="s">
        <v>26</v>
      </c>
      <c r="E153" s="6" t="s">
        <v>663</v>
      </c>
      <c r="F153" s="6" t="s">
        <v>21</v>
      </c>
      <c r="G153" s="6" t="s">
        <v>68</v>
      </c>
      <c r="H153" t="s">
        <v>15</v>
      </c>
      <c r="I153" s="6" t="s">
        <v>16</v>
      </c>
      <c r="J153" s="6" t="s">
        <v>32</v>
      </c>
      <c r="K153" s="6" t="s">
        <v>48</v>
      </c>
      <c r="L153" s="6" t="s">
        <v>56</v>
      </c>
      <c r="M153" s="12">
        <v>70</v>
      </c>
      <c r="N153" s="2">
        <v>114.45</v>
      </c>
      <c r="O153" s="4">
        <v>9.8800000000000013E-2</v>
      </c>
      <c r="P153" s="2">
        <v>8011.5</v>
      </c>
      <c r="Q153" s="2">
        <v>753.55000000000007</v>
      </c>
      <c r="R153" s="2">
        <v>4320.75</v>
      </c>
      <c r="S153" s="2">
        <v>641.20000000000005</v>
      </c>
      <c r="T153" s="2">
        <v>7219.9638000000004</v>
      </c>
      <c r="U153" s="2">
        <v>1504.4638000000004</v>
      </c>
      <c r="V153" s="5">
        <v>0.20837553229837527</v>
      </c>
    </row>
    <row r="154" spans="1:22" x14ac:dyDescent="0.3">
      <c r="A154">
        <f t="shared" si="2"/>
        <v>153</v>
      </c>
      <c r="B154" t="s">
        <v>238</v>
      </c>
      <c r="C154" s="1">
        <v>45775</v>
      </c>
      <c r="D154" t="s">
        <v>61</v>
      </c>
      <c r="E154" s="6" t="s">
        <v>664</v>
      </c>
      <c r="F154" s="6" t="s">
        <v>63</v>
      </c>
      <c r="G154" s="6" t="s">
        <v>69</v>
      </c>
      <c r="H154" t="s">
        <v>15</v>
      </c>
      <c r="I154" s="6" t="s">
        <v>23</v>
      </c>
      <c r="J154" s="6" t="s">
        <v>17</v>
      </c>
      <c r="K154" s="6" t="s">
        <v>33</v>
      </c>
      <c r="L154" s="6" t="s">
        <v>73</v>
      </c>
      <c r="M154" s="12">
        <v>101</v>
      </c>
      <c r="N154" s="2">
        <v>134.4</v>
      </c>
      <c r="O154" s="4">
        <v>0.1038</v>
      </c>
      <c r="P154" s="2">
        <v>13574.400000000001</v>
      </c>
      <c r="Q154" s="2">
        <v>2301.25</v>
      </c>
      <c r="R154" s="2">
        <v>6737.5</v>
      </c>
      <c r="S154" s="2">
        <v>1231.3</v>
      </c>
      <c r="T154" s="2">
        <v>12165.377280000001</v>
      </c>
      <c r="U154" s="2">
        <v>1895.3272800000013</v>
      </c>
      <c r="V154" s="5">
        <v>0.15579683526263818</v>
      </c>
    </row>
    <row r="155" spans="1:22" x14ac:dyDescent="0.3">
      <c r="A155">
        <f t="shared" si="2"/>
        <v>154</v>
      </c>
      <c r="B155" t="s">
        <v>239</v>
      </c>
      <c r="C155" s="1">
        <v>45914</v>
      </c>
      <c r="D155" t="s">
        <v>14</v>
      </c>
      <c r="E155" s="6" t="s">
        <v>663</v>
      </c>
      <c r="F155" s="6" t="s">
        <v>21</v>
      </c>
      <c r="G155" s="6" t="s">
        <v>68</v>
      </c>
      <c r="H155" t="s">
        <v>27</v>
      </c>
      <c r="I155" s="6" t="s">
        <v>28</v>
      </c>
      <c r="J155" s="6" t="s">
        <v>32</v>
      </c>
      <c r="K155" s="6" t="s">
        <v>33</v>
      </c>
      <c r="L155" s="6" t="s">
        <v>70</v>
      </c>
      <c r="M155" s="12">
        <v>382</v>
      </c>
      <c r="N155" s="2">
        <v>93.800000000000011</v>
      </c>
      <c r="O155" s="4">
        <v>0.15570000000000001</v>
      </c>
      <c r="P155" s="2">
        <v>35831.600000000006</v>
      </c>
      <c r="Q155" s="2">
        <v>2443.35</v>
      </c>
      <c r="R155" s="2">
        <v>16323.65</v>
      </c>
      <c r="S155" s="2">
        <v>1502.55</v>
      </c>
      <c r="T155" s="2">
        <v>30252.619880000006</v>
      </c>
      <c r="U155" s="2">
        <v>9983.0698800000064</v>
      </c>
      <c r="V155" s="5">
        <v>0.32999025934278869</v>
      </c>
    </row>
    <row r="156" spans="1:22" x14ac:dyDescent="0.3">
      <c r="A156">
        <f t="shared" si="2"/>
        <v>155</v>
      </c>
      <c r="B156" t="s">
        <v>240</v>
      </c>
      <c r="C156" s="1">
        <v>45989</v>
      </c>
      <c r="D156" t="s">
        <v>67</v>
      </c>
      <c r="E156" s="6" t="s">
        <v>664</v>
      </c>
      <c r="F156" s="6" t="s">
        <v>63</v>
      </c>
      <c r="G156" s="6" t="s">
        <v>69</v>
      </c>
      <c r="H156" t="s">
        <v>15</v>
      </c>
      <c r="I156" s="6" t="s">
        <v>16</v>
      </c>
      <c r="J156" s="6" t="s">
        <v>32</v>
      </c>
      <c r="K156" s="6" t="s">
        <v>48</v>
      </c>
      <c r="L156" s="6" t="s">
        <v>74</v>
      </c>
      <c r="M156" s="12">
        <v>126</v>
      </c>
      <c r="N156" s="2">
        <v>151.20000000000002</v>
      </c>
      <c r="O156" s="4">
        <v>1.5300000000000001E-2</v>
      </c>
      <c r="P156" s="2">
        <v>19051.2</v>
      </c>
      <c r="Q156" s="2">
        <v>2197.3000000000002</v>
      </c>
      <c r="R156" s="2">
        <v>12331.199999999999</v>
      </c>
      <c r="S156" s="2">
        <v>1366.05</v>
      </c>
      <c r="T156" s="2">
        <v>18759.716640000002</v>
      </c>
      <c r="U156" s="2">
        <v>2865.166640000004</v>
      </c>
      <c r="V156" s="5">
        <v>0.15272973973875564</v>
      </c>
    </row>
    <row r="157" spans="1:22" x14ac:dyDescent="0.3">
      <c r="A157">
        <f t="shared" si="2"/>
        <v>156</v>
      </c>
      <c r="B157" t="s">
        <v>241</v>
      </c>
      <c r="C157" s="1">
        <v>45943</v>
      </c>
      <c r="D157" t="s">
        <v>20</v>
      </c>
      <c r="E157" s="6" t="s">
        <v>662</v>
      </c>
      <c r="F157" s="6" t="s">
        <v>66</v>
      </c>
      <c r="G157" s="6" t="s">
        <v>39</v>
      </c>
      <c r="H157" t="s">
        <v>15</v>
      </c>
      <c r="I157" s="6" t="s">
        <v>23</v>
      </c>
      <c r="J157" s="6" t="s">
        <v>17</v>
      </c>
      <c r="K157" s="6" t="s">
        <v>33</v>
      </c>
      <c r="L157" s="6" t="s">
        <v>34</v>
      </c>
      <c r="M157" s="12">
        <v>12</v>
      </c>
      <c r="N157" s="2">
        <v>109.2</v>
      </c>
      <c r="O157" s="4">
        <v>8.8499999999999995E-2</v>
      </c>
      <c r="P157" s="2">
        <v>1310.4000000000001</v>
      </c>
      <c r="Q157" s="2">
        <v>406.34999999999997</v>
      </c>
      <c r="R157" s="2">
        <v>722.75</v>
      </c>
      <c r="S157" s="2">
        <v>113.75</v>
      </c>
      <c r="T157" s="2">
        <v>1194.4296000000002</v>
      </c>
      <c r="U157" s="2">
        <v>-48.420399999999802</v>
      </c>
      <c r="V157" s="5">
        <v>-4.0538513111195329E-2</v>
      </c>
    </row>
    <row r="158" spans="1:22" x14ac:dyDescent="0.3">
      <c r="A158">
        <f t="shared" si="2"/>
        <v>157</v>
      </c>
      <c r="B158" t="s">
        <v>242</v>
      </c>
      <c r="C158" s="1">
        <v>45815</v>
      </c>
      <c r="D158" t="s">
        <v>58</v>
      </c>
      <c r="E158" s="6" t="s">
        <v>662</v>
      </c>
      <c r="F158" s="6" t="s">
        <v>66</v>
      </c>
      <c r="G158" s="6" t="s">
        <v>68</v>
      </c>
      <c r="H158" t="s">
        <v>27</v>
      </c>
      <c r="I158" s="6" t="s">
        <v>28</v>
      </c>
      <c r="J158" s="6" t="s">
        <v>45</v>
      </c>
      <c r="K158" s="6" t="s">
        <v>48</v>
      </c>
      <c r="L158" s="6" t="s">
        <v>62</v>
      </c>
      <c r="M158" s="12">
        <v>599</v>
      </c>
      <c r="N158" s="2">
        <v>226.1</v>
      </c>
      <c r="O158" s="4">
        <v>0.25040000000000001</v>
      </c>
      <c r="P158" s="2">
        <v>135433.9</v>
      </c>
      <c r="Q158" s="2">
        <v>12737.2</v>
      </c>
      <c r="R158" s="2">
        <v>72122.05</v>
      </c>
      <c r="S158" s="2">
        <v>7218.0499999999993</v>
      </c>
      <c r="T158" s="2">
        <v>101521.25144000001</v>
      </c>
      <c r="U158" s="2">
        <v>9443.9514400000007</v>
      </c>
      <c r="V158" s="5">
        <v>9.3024379684498504E-2</v>
      </c>
    </row>
    <row r="159" spans="1:22" x14ac:dyDescent="0.3">
      <c r="A159">
        <f t="shared" si="2"/>
        <v>158</v>
      </c>
      <c r="B159" t="s">
        <v>243</v>
      </c>
      <c r="C159" s="1">
        <v>45955</v>
      </c>
      <c r="D159" t="s">
        <v>20</v>
      </c>
      <c r="E159" s="6" t="s">
        <v>664</v>
      </c>
      <c r="F159" s="6" t="s">
        <v>63</v>
      </c>
      <c r="G159" s="6" t="s">
        <v>69</v>
      </c>
      <c r="H159" t="s">
        <v>15</v>
      </c>
      <c r="I159" s="6" t="s">
        <v>23</v>
      </c>
      <c r="J159" s="6" t="s">
        <v>17</v>
      </c>
      <c r="K159" s="6" t="s">
        <v>37</v>
      </c>
      <c r="L159" s="6" t="s">
        <v>38</v>
      </c>
      <c r="M159" s="12">
        <v>61</v>
      </c>
      <c r="N159" s="2">
        <v>89.949999999999989</v>
      </c>
      <c r="O159" s="4">
        <v>0.1011</v>
      </c>
      <c r="P159" s="2">
        <v>5486.9499999999989</v>
      </c>
      <c r="Q159" s="2">
        <v>2524.9</v>
      </c>
      <c r="R159" s="2">
        <v>2367.4</v>
      </c>
      <c r="S159" s="2">
        <v>469.35</v>
      </c>
      <c r="T159" s="2">
        <v>4932.2193549999993</v>
      </c>
      <c r="U159" s="2">
        <v>-429.43064500000128</v>
      </c>
      <c r="V159" s="5">
        <v>-8.7066412519684319E-2</v>
      </c>
    </row>
    <row r="160" spans="1:22" x14ac:dyDescent="0.3">
      <c r="A160">
        <f t="shared" si="2"/>
        <v>159</v>
      </c>
      <c r="B160" t="s">
        <v>244</v>
      </c>
      <c r="C160" s="1">
        <v>45789</v>
      </c>
      <c r="D160" t="s">
        <v>30</v>
      </c>
      <c r="E160" s="6" t="s">
        <v>664</v>
      </c>
      <c r="F160" s="6" t="s">
        <v>63</v>
      </c>
      <c r="G160" s="6" t="s">
        <v>82</v>
      </c>
      <c r="H160" t="s">
        <v>27</v>
      </c>
      <c r="I160" s="6" t="s">
        <v>16</v>
      </c>
      <c r="J160" s="6" t="s">
        <v>32</v>
      </c>
      <c r="K160" s="6" t="s">
        <v>46</v>
      </c>
      <c r="L160" s="6" t="s">
        <v>47</v>
      </c>
      <c r="M160" s="12">
        <v>140</v>
      </c>
      <c r="N160" s="2">
        <v>179.89999999999998</v>
      </c>
      <c r="O160" s="4">
        <v>5.6500000000000002E-2</v>
      </c>
      <c r="P160" s="2">
        <v>25185.999999999996</v>
      </c>
      <c r="Q160" s="2">
        <v>2364.6</v>
      </c>
      <c r="R160" s="2">
        <v>14307.650000000001</v>
      </c>
      <c r="S160" s="2">
        <v>2079.7000000000003</v>
      </c>
      <c r="T160" s="2">
        <v>23762.990999999998</v>
      </c>
      <c r="U160" s="2">
        <v>5011.0409999999956</v>
      </c>
      <c r="V160" s="5">
        <v>0.2108758531280846</v>
      </c>
    </row>
    <row r="161" spans="1:22" x14ac:dyDescent="0.3">
      <c r="A161">
        <f t="shared" si="2"/>
        <v>160</v>
      </c>
      <c r="B161" t="s">
        <v>245</v>
      </c>
      <c r="C161" s="1">
        <v>45763</v>
      </c>
      <c r="D161" t="s">
        <v>61</v>
      </c>
      <c r="E161" s="6" t="s">
        <v>662</v>
      </c>
      <c r="F161" s="6" t="s">
        <v>42</v>
      </c>
      <c r="G161" s="6" t="s">
        <v>69</v>
      </c>
      <c r="H161" t="s">
        <v>27</v>
      </c>
      <c r="I161" s="6" t="s">
        <v>31</v>
      </c>
      <c r="J161" s="6" t="s">
        <v>32</v>
      </c>
      <c r="K161" s="6" t="s">
        <v>33</v>
      </c>
      <c r="L161" s="6" t="s">
        <v>34</v>
      </c>
      <c r="M161" s="12">
        <v>387</v>
      </c>
      <c r="N161" s="2">
        <v>89.25</v>
      </c>
      <c r="O161" s="4">
        <v>9.1700000000000004E-2</v>
      </c>
      <c r="P161" s="2">
        <v>34539.75</v>
      </c>
      <c r="Q161" s="2">
        <v>1911.35</v>
      </c>
      <c r="R161" s="2">
        <v>17870.649999999998</v>
      </c>
      <c r="S161" s="2">
        <v>1403.5</v>
      </c>
      <c r="T161" s="2">
        <v>31372.454924999998</v>
      </c>
      <c r="U161" s="2">
        <v>10186.954925</v>
      </c>
      <c r="V161" s="5">
        <v>0.32471016212640236</v>
      </c>
    </row>
    <row r="162" spans="1:22" x14ac:dyDescent="0.3">
      <c r="A162">
        <f t="shared" si="2"/>
        <v>161</v>
      </c>
      <c r="B162" t="s">
        <v>246</v>
      </c>
      <c r="C162" s="1">
        <v>45776</v>
      </c>
      <c r="D162" t="s">
        <v>61</v>
      </c>
      <c r="E162" s="6" t="s">
        <v>664</v>
      </c>
      <c r="F162" s="6" t="s">
        <v>63</v>
      </c>
      <c r="G162" s="6" t="s">
        <v>68</v>
      </c>
      <c r="H162" t="s">
        <v>27</v>
      </c>
      <c r="I162" s="6" t="s">
        <v>16</v>
      </c>
      <c r="J162" s="6" t="s">
        <v>32</v>
      </c>
      <c r="K162" s="6" t="s">
        <v>46</v>
      </c>
      <c r="L162" s="6" t="s">
        <v>51</v>
      </c>
      <c r="M162" s="12">
        <v>227</v>
      </c>
      <c r="N162" s="2">
        <v>139.30000000000001</v>
      </c>
      <c r="O162" s="4">
        <v>0.1285</v>
      </c>
      <c r="P162" s="2">
        <v>31621.100000000002</v>
      </c>
      <c r="Q162" s="2">
        <v>2593.85</v>
      </c>
      <c r="R162" s="2">
        <v>15033.55</v>
      </c>
      <c r="S162" s="2">
        <v>2014.95</v>
      </c>
      <c r="T162" s="2">
        <v>27557.788649999999</v>
      </c>
      <c r="U162" s="2">
        <v>7915.4386499999982</v>
      </c>
      <c r="V162" s="5">
        <v>0.28723054489352134</v>
      </c>
    </row>
    <row r="163" spans="1:22" x14ac:dyDescent="0.3">
      <c r="A163">
        <f t="shared" si="2"/>
        <v>162</v>
      </c>
      <c r="B163" t="s">
        <v>247</v>
      </c>
      <c r="C163" s="1">
        <v>45777</v>
      </c>
      <c r="D163" t="s">
        <v>61</v>
      </c>
      <c r="E163" s="6" t="s">
        <v>662</v>
      </c>
      <c r="F163" s="6" t="s">
        <v>42</v>
      </c>
      <c r="G163" s="6" t="s">
        <v>82</v>
      </c>
      <c r="H163" t="s">
        <v>27</v>
      </c>
      <c r="I163" s="6" t="s">
        <v>31</v>
      </c>
      <c r="J163" s="6" t="s">
        <v>17</v>
      </c>
      <c r="K163" s="6" t="s">
        <v>18</v>
      </c>
      <c r="L163" s="6" t="s">
        <v>29</v>
      </c>
      <c r="M163" s="12">
        <v>402</v>
      </c>
      <c r="N163" s="2">
        <v>166.6</v>
      </c>
      <c r="O163" s="4">
        <v>0.23309999999999997</v>
      </c>
      <c r="P163" s="2">
        <v>66973.2</v>
      </c>
      <c r="Q163" s="2">
        <v>3969</v>
      </c>
      <c r="R163" s="2">
        <v>27742.399999999998</v>
      </c>
      <c r="S163" s="2">
        <v>2216.5499999999997</v>
      </c>
      <c r="T163" s="2">
        <v>51361.747080000001</v>
      </c>
      <c r="U163" s="2">
        <v>17433.79708</v>
      </c>
      <c r="V163" s="5">
        <v>0.33943154333993891</v>
      </c>
    </row>
    <row r="164" spans="1:22" x14ac:dyDescent="0.3">
      <c r="A164">
        <f t="shared" si="2"/>
        <v>163</v>
      </c>
      <c r="B164" t="s">
        <v>248</v>
      </c>
      <c r="C164" s="1">
        <v>45950</v>
      </c>
      <c r="D164" t="s">
        <v>20</v>
      </c>
      <c r="E164" s="6" t="s">
        <v>664</v>
      </c>
      <c r="F164" s="6" t="s">
        <v>63</v>
      </c>
      <c r="G164" s="6" t="s">
        <v>64</v>
      </c>
      <c r="H164" t="s">
        <v>27</v>
      </c>
      <c r="I164" s="6" t="s">
        <v>16</v>
      </c>
      <c r="J164" s="6" t="s">
        <v>32</v>
      </c>
      <c r="K164" s="6" t="s">
        <v>46</v>
      </c>
      <c r="L164" s="6" t="s">
        <v>83</v>
      </c>
      <c r="M164" s="12">
        <v>30</v>
      </c>
      <c r="N164" s="2">
        <v>144.89999999999998</v>
      </c>
      <c r="O164" s="4">
        <v>0.10920000000000001</v>
      </c>
      <c r="P164" s="2">
        <v>4346.9999999999991</v>
      </c>
      <c r="Q164" s="2">
        <v>422.8</v>
      </c>
      <c r="R164" s="2">
        <v>2189.25</v>
      </c>
      <c r="S164" s="2">
        <v>343.35</v>
      </c>
      <c r="T164" s="2">
        <v>3872.3075999999992</v>
      </c>
      <c r="U164" s="2">
        <v>916.90759999999932</v>
      </c>
      <c r="V164" s="5">
        <v>0.23678583798456496</v>
      </c>
    </row>
    <row r="165" spans="1:22" x14ac:dyDescent="0.3">
      <c r="A165">
        <f t="shared" si="2"/>
        <v>164</v>
      </c>
      <c r="B165" t="s">
        <v>249</v>
      </c>
      <c r="C165" s="1">
        <v>45726</v>
      </c>
      <c r="D165" t="s">
        <v>41</v>
      </c>
      <c r="E165" s="6" t="s">
        <v>662</v>
      </c>
      <c r="F165" s="6" t="s">
        <v>66</v>
      </c>
      <c r="G165" s="6" t="s">
        <v>64</v>
      </c>
      <c r="H165" t="s">
        <v>27</v>
      </c>
      <c r="I165" s="6" t="s">
        <v>16</v>
      </c>
      <c r="J165" s="6" t="s">
        <v>32</v>
      </c>
      <c r="K165" s="6" t="s">
        <v>48</v>
      </c>
      <c r="L165" s="6" t="s">
        <v>57</v>
      </c>
      <c r="M165" s="12">
        <v>143</v>
      </c>
      <c r="N165" s="2">
        <v>73.849999999999994</v>
      </c>
      <c r="O165" s="4">
        <v>9.4299999999999995E-2</v>
      </c>
      <c r="P165" s="2">
        <v>10560.55</v>
      </c>
      <c r="Q165" s="2">
        <v>1004.85</v>
      </c>
      <c r="R165" s="2">
        <v>7254.0999999999995</v>
      </c>
      <c r="S165" s="2">
        <v>756.7</v>
      </c>
      <c r="T165" s="2">
        <v>9564.6901349999989</v>
      </c>
      <c r="U165" s="2">
        <v>549.04013499999871</v>
      </c>
      <c r="V165" s="5">
        <v>5.740281464957242E-2</v>
      </c>
    </row>
    <row r="166" spans="1:22" x14ac:dyDescent="0.3">
      <c r="A166">
        <f t="shared" si="2"/>
        <v>165</v>
      </c>
      <c r="B166" t="s">
        <v>250</v>
      </c>
      <c r="C166" s="1">
        <v>45684</v>
      </c>
      <c r="D166" t="s">
        <v>44</v>
      </c>
      <c r="E166" s="6" t="s">
        <v>662</v>
      </c>
      <c r="F166" s="6" t="s">
        <v>42</v>
      </c>
      <c r="G166" s="6" t="s">
        <v>65</v>
      </c>
      <c r="H166" t="s">
        <v>27</v>
      </c>
      <c r="I166" s="6" t="s">
        <v>28</v>
      </c>
      <c r="J166" s="6" t="s">
        <v>45</v>
      </c>
      <c r="K166" s="6" t="s">
        <v>33</v>
      </c>
      <c r="L166" s="6" t="s">
        <v>79</v>
      </c>
      <c r="M166" s="12">
        <v>429</v>
      </c>
      <c r="N166" s="2">
        <v>66.5</v>
      </c>
      <c r="O166" s="4">
        <v>0.18710000000000002</v>
      </c>
      <c r="P166" s="2">
        <v>28528.5</v>
      </c>
      <c r="Q166" s="2">
        <v>6167.35</v>
      </c>
      <c r="R166" s="2">
        <v>14095.550000000001</v>
      </c>
      <c r="S166" s="2">
        <v>1145.55</v>
      </c>
      <c r="T166" s="2">
        <v>23190.817649999997</v>
      </c>
      <c r="U166" s="2">
        <v>1782.3676499999965</v>
      </c>
      <c r="V166" s="5">
        <v>7.6856610961278313E-2</v>
      </c>
    </row>
    <row r="167" spans="1:22" x14ac:dyDescent="0.3">
      <c r="A167">
        <f t="shared" si="2"/>
        <v>166</v>
      </c>
      <c r="B167" t="s">
        <v>251</v>
      </c>
      <c r="C167" s="1">
        <v>45941</v>
      </c>
      <c r="D167" t="s">
        <v>20</v>
      </c>
      <c r="E167" s="6" t="s">
        <v>662</v>
      </c>
      <c r="F167" s="6" t="s">
        <v>66</v>
      </c>
      <c r="G167" s="6" t="s">
        <v>68</v>
      </c>
      <c r="H167" t="s">
        <v>15</v>
      </c>
      <c r="I167" s="6" t="s">
        <v>23</v>
      </c>
      <c r="J167" s="6" t="s">
        <v>17</v>
      </c>
      <c r="K167" s="6" t="s">
        <v>46</v>
      </c>
      <c r="L167" s="6" t="s">
        <v>83</v>
      </c>
      <c r="M167" s="12">
        <v>24</v>
      </c>
      <c r="N167" s="2">
        <v>147.35</v>
      </c>
      <c r="O167" s="4">
        <v>0.10220000000000001</v>
      </c>
      <c r="P167" s="2">
        <v>3536.3999999999996</v>
      </c>
      <c r="Q167" s="2">
        <v>475.65</v>
      </c>
      <c r="R167" s="2">
        <v>1778</v>
      </c>
      <c r="S167" s="2">
        <v>309.05</v>
      </c>
      <c r="T167" s="2">
        <v>3174.9799199999993</v>
      </c>
      <c r="U167" s="2">
        <v>612.27991999999915</v>
      </c>
      <c r="V167" s="5">
        <v>0.19284528892390579</v>
      </c>
    </row>
    <row r="168" spans="1:22" x14ac:dyDescent="0.3">
      <c r="A168">
        <f t="shared" si="2"/>
        <v>167</v>
      </c>
      <c r="B168" t="s">
        <v>252</v>
      </c>
      <c r="C168" s="1">
        <v>46006</v>
      </c>
      <c r="D168" t="s">
        <v>50</v>
      </c>
      <c r="E168" s="6" t="s">
        <v>664</v>
      </c>
      <c r="F168" s="6" t="s">
        <v>63</v>
      </c>
      <c r="G168" s="6" t="s">
        <v>64</v>
      </c>
      <c r="H168" t="s">
        <v>27</v>
      </c>
      <c r="I168" s="6" t="s">
        <v>16</v>
      </c>
      <c r="J168" s="6" t="s">
        <v>45</v>
      </c>
      <c r="K168" s="6" t="s">
        <v>33</v>
      </c>
      <c r="L168" s="6" t="s">
        <v>73</v>
      </c>
      <c r="M168" s="12">
        <v>47</v>
      </c>
      <c r="N168" s="2">
        <v>126.35</v>
      </c>
      <c r="O168" s="4">
        <v>0.19789999999999999</v>
      </c>
      <c r="P168" s="2">
        <v>5938.45</v>
      </c>
      <c r="Q168" s="2">
        <v>777.35</v>
      </c>
      <c r="R168" s="2">
        <v>2836.05</v>
      </c>
      <c r="S168" s="2">
        <v>334.25</v>
      </c>
      <c r="T168" s="2">
        <v>4763.2307449999998</v>
      </c>
      <c r="U168" s="2">
        <v>815.58074499999964</v>
      </c>
      <c r="V168" s="5">
        <v>0.17122427794540943</v>
      </c>
    </row>
    <row r="169" spans="1:22" x14ac:dyDescent="0.3">
      <c r="A169">
        <f t="shared" si="2"/>
        <v>168</v>
      </c>
      <c r="B169" t="s">
        <v>253</v>
      </c>
      <c r="C169" s="1">
        <v>46001</v>
      </c>
      <c r="D169" t="s">
        <v>50</v>
      </c>
      <c r="E169" s="6" t="s">
        <v>662</v>
      </c>
      <c r="F169" s="6" t="s">
        <v>42</v>
      </c>
      <c r="G169" s="6" t="s">
        <v>68</v>
      </c>
      <c r="H169" t="s">
        <v>27</v>
      </c>
      <c r="I169" s="6" t="s">
        <v>31</v>
      </c>
      <c r="J169" s="6" t="s">
        <v>52</v>
      </c>
      <c r="K169" s="6" t="s">
        <v>37</v>
      </c>
      <c r="L169" s="6" t="s">
        <v>72</v>
      </c>
      <c r="M169" s="12">
        <v>345</v>
      </c>
      <c r="N169" s="2">
        <v>64.400000000000006</v>
      </c>
      <c r="O169" s="4">
        <v>0.19940000000000002</v>
      </c>
      <c r="P169" s="2">
        <v>22218.000000000004</v>
      </c>
      <c r="Q169" s="2">
        <v>1565.2</v>
      </c>
      <c r="R169" s="2">
        <v>9481.85</v>
      </c>
      <c r="S169" s="2">
        <v>796.94999999999993</v>
      </c>
      <c r="T169" s="2">
        <v>17787.730800000001</v>
      </c>
      <c r="U169" s="2">
        <v>5943.7308000000003</v>
      </c>
      <c r="V169" s="5">
        <v>0.33414778235793852</v>
      </c>
    </row>
    <row r="170" spans="1:22" x14ac:dyDescent="0.3">
      <c r="A170">
        <f t="shared" si="2"/>
        <v>169</v>
      </c>
      <c r="B170" t="s">
        <v>254</v>
      </c>
      <c r="C170" s="1">
        <v>45734</v>
      </c>
      <c r="D170" t="s">
        <v>41</v>
      </c>
      <c r="E170" s="6" t="s">
        <v>664</v>
      </c>
      <c r="F170" s="6" t="s">
        <v>63</v>
      </c>
      <c r="G170" s="6" t="s">
        <v>69</v>
      </c>
      <c r="H170" t="s">
        <v>15</v>
      </c>
      <c r="I170" s="6" t="s">
        <v>16</v>
      </c>
      <c r="J170" s="6" t="s">
        <v>36</v>
      </c>
      <c r="K170" s="6" t="s">
        <v>48</v>
      </c>
      <c r="L170" s="6" t="s">
        <v>56</v>
      </c>
      <c r="M170" s="12">
        <v>167</v>
      </c>
      <c r="N170" s="2">
        <v>126.35</v>
      </c>
      <c r="O170" s="4">
        <v>5.8200000000000002E-2</v>
      </c>
      <c r="P170" s="2">
        <v>21100.45</v>
      </c>
      <c r="Q170" s="2">
        <v>2451.75</v>
      </c>
      <c r="R170" s="2">
        <v>11047.4</v>
      </c>
      <c r="S170" s="2">
        <v>1437.8</v>
      </c>
      <c r="T170" s="2">
        <v>19872.40381</v>
      </c>
      <c r="U170" s="2">
        <v>4935.4538100000009</v>
      </c>
      <c r="V170" s="5">
        <v>0.24835716188075996</v>
      </c>
    </row>
    <row r="171" spans="1:22" x14ac:dyDescent="0.3">
      <c r="A171">
        <f t="shared" si="2"/>
        <v>170</v>
      </c>
      <c r="B171" t="s">
        <v>255</v>
      </c>
      <c r="C171" s="1">
        <v>45966</v>
      </c>
      <c r="D171" t="s">
        <v>67</v>
      </c>
      <c r="E171" s="6" t="s">
        <v>662</v>
      </c>
      <c r="F171" s="6" t="s">
        <v>42</v>
      </c>
      <c r="G171" s="6" t="s">
        <v>82</v>
      </c>
      <c r="H171" t="s">
        <v>15</v>
      </c>
      <c r="I171" s="6" t="s">
        <v>23</v>
      </c>
      <c r="J171" s="6" t="s">
        <v>32</v>
      </c>
      <c r="K171" s="6" t="s">
        <v>48</v>
      </c>
      <c r="L171" s="6" t="s">
        <v>49</v>
      </c>
      <c r="M171" s="12">
        <v>72</v>
      </c>
      <c r="N171" s="2">
        <v>110.95</v>
      </c>
      <c r="O171" s="4">
        <v>1.7100000000000001E-2</v>
      </c>
      <c r="P171" s="2">
        <v>7988.4000000000005</v>
      </c>
      <c r="Q171" s="2">
        <v>1205.3999999999999</v>
      </c>
      <c r="R171" s="2">
        <v>4611.9500000000007</v>
      </c>
      <c r="S171" s="2">
        <v>826</v>
      </c>
      <c r="T171" s="2">
        <v>7851.7983600000007</v>
      </c>
      <c r="U171" s="2">
        <v>1208.4483600000001</v>
      </c>
      <c r="V171" s="5">
        <v>0.15390720757123466</v>
      </c>
    </row>
    <row r="172" spans="1:22" x14ac:dyDescent="0.3">
      <c r="A172">
        <f t="shared" si="2"/>
        <v>171</v>
      </c>
      <c r="B172" t="s">
        <v>256</v>
      </c>
      <c r="C172" s="1">
        <v>46016</v>
      </c>
      <c r="D172" t="s">
        <v>50</v>
      </c>
      <c r="E172" s="6" t="s">
        <v>664</v>
      </c>
      <c r="F172" s="6" t="s">
        <v>63</v>
      </c>
      <c r="G172" s="6" t="s">
        <v>68</v>
      </c>
      <c r="H172" t="s">
        <v>27</v>
      </c>
      <c r="I172" s="6" t="s">
        <v>16</v>
      </c>
      <c r="J172" s="6" t="s">
        <v>32</v>
      </c>
      <c r="K172" s="6" t="s">
        <v>48</v>
      </c>
      <c r="L172" s="6" t="s">
        <v>74</v>
      </c>
      <c r="M172" s="12">
        <v>255</v>
      </c>
      <c r="N172" s="2">
        <v>150.85</v>
      </c>
      <c r="O172" s="4">
        <v>0.1096</v>
      </c>
      <c r="P172" s="2">
        <v>38466.75</v>
      </c>
      <c r="Q172" s="2">
        <v>4384.45</v>
      </c>
      <c r="R172" s="2">
        <v>23079.35</v>
      </c>
      <c r="S172" s="2">
        <v>2654.75</v>
      </c>
      <c r="T172" s="2">
        <v>34250.794199999997</v>
      </c>
      <c r="U172" s="2">
        <v>4132.2441999999983</v>
      </c>
      <c r="V172" s="5">
        <v>0.12064666809974289</v>
      </c>
    </row>
    <row r="173" spans="1:22" x14ac:dyDescent="0.3">
      <c r="A173">
        <f t="shared" si="2"/>
        <v>172</v>
      </c>
      <c r="B173" t="s">
        <v>257</v>
      </c>
      <c r="C173" s="1">
        <v>45939</v>
      </c>
      <c r="D173" t="s">
        <v>20</v>
      </c>
      <c r="E173" s="6" t="s">
        <v>662</v>
      </c>
      <c r="F173" s="6" t="s">
        <v>42</v>
      </c>
      <c r="G173" s="6" t="s">
        <v>65</v>
      </c>
      <c r="H173" t="s">
        <v>27</v>
      </c>
      <c r="I173" s="6" t="s">
        <v>31</v>
      </c>
      <c r="J173" s="6" t="s">
        <v>24</v>
      </c>
      <c r="K173" s="6" t="s">
        <v>46</v>
      </c>
      <c r="L173" s="6" t="s">
        <v>81</v>
      </c>
      <c r="M173" s="12">
        <v>1000</v>
      </c>
      <c r="N173" s="2">
        <v>158.9</v>
      </c>
      <c r="O173" s="4">
        <v>0.15179999999999999</v>
      </c>
      <c r="P173" s="2">
        <v>158900</v>
      </c>
      <c r="Q173" s="2">
        <v>10217.9</v>
      </c>
      <c r="R173" s="2">
        <v>78742.649999999994</v>
      </c>
      <c r="S173" s="2">
        <v>7381.5</v>
      </c>
      <c r="T173" s="2">
        <v>134778.98000000001</v>
      </c>
      <c r="U173" s="2">
        <v>38436.930000000015</v>
      </c>
      <c r="V173" s="5">
        <v>0.28518490049412759</v>
      </c>
    </row>
    <row r="174" spans="1:22" x14ac:dyDescent="0.3">
      <c r="A174">
        <f t="shared" si="2"/>
        <v>173</v>
      </c>
      <c r="B174" t="s">
        <v>258</v>
      </c>
      <c r="C174" s="1">
        <v>45817</v>
      </c>
      <c r="D174" t="s">
        <v>58</v>
      </c>
      <c r="E174" s="6" t="s">
        <v>663</v>
      </c>
      <c r="F174" s="6" t="s">
        <v>21</v>
      </c>
      <c r="G174" s="6" t="s">
        <v>43</v>
      </c>
      <c r="H174" t="s">
        <v>27</v>
      </c>
      <c r="I174" s="6" t="s">
        <v>16</v>
      </c>
      <c r="J174" s="6" t="s">
        <v>32</v>
      </c>
      <c r="K174" s="6" t="s">
        <v>46</v>
      </c>
      <c r="L174" s="6" t="s">
        <v>83</v>
      </c>
      <c r="M174" s="12">
        <v>181</v>
      </c>
      <c r="N174" s="2">
        <v>142.1</v>
      </c>
      <c r="O174" s="4">
        <v>0.11509999999999999</v>
      </c>
      <c r="P174" s="2">
        <v>25720.1</v>
      </c>
      <c r="Q174" s="2">
        <v>2340.4500000000003</v>
      </c>
      <c r="R174" s="2">
        <v>13370</v>
      </c>
      <c r="S174" s="2">
        <v>1696.1000000000001</v>
      </c>
      <c r="T174" s="2">
        <v>22759.716489999999</v>
      </c>
      <c r="U174" s="2">
        <v>5353.1664899999996</v>
      </c>
      <c r="V174" s="5">
        <v>0.23520356645707935</v>
      </c>
    </row>
    <row r="175" spans="1:22" x14ac:dyDescent="0.3">
      <c r="A175">
        <f t="shared" si="2"/>
        <v>174</v>
      </c>
      <c r="B175" t="s">
        <v>259</v>
      </c>
      <c r="C175" s="1">
        <v>45794</v>
      </c>
      <c r="D175" t="s">
        <v>30</v>
      </c>
      <c r="E175" s="6" t="s">
        <v>662</v>
      </c>
      <c r="F175" s="6" t="s">
        <v>66</v>
      </c>
      <c r="G175" s="6" t="s">
        <v>82</v>
      </c>
      <c r="H175" t="s">
        <v>15</v>
      </c>
      <c r="I175" s="6" t="s">
        <v>16</v>
      </c>
      <c r="J175" s="6" t="s">
        <v>32</v>
      </c>
      <c r="K175" s="6" t="s">
        <v>48</v>
      </c>
      <c r="L175" s="6" t="s">
        <v>57</v>
      </c>
      <c r="M175" s="12">
        <v>170</v>
      </c>
      <c r="N175" s="2">
        <v>88.55</v>
      </c>
      <c r="O175" s="4">
        <v>6.480000000000001E-2</v>
      </c>
      <c r="P175" s="2">
        <v>15053.5</v>
      </c>
      <c r="Q175" s="2">
        <v>1713.95</v>
      </c>
      <c r="R175" s="2">
        <v>10144.049999999999</v>
      </c>
      <c r="S175" s="2">
        <v>1161.6499999999999</v>
      </c>
      <c r="T175" s="2">
        <v>14078.0332</v>
      </c>
      <c r="U175" s="2">
        <v>1058.3832000000009</v>
      </c>
      <c r="V175" s="5">
        <v>7.5179763036785627E-2</v>
      </c>
    </row>
    <row r="176" spans="1:22" x14ac:dyDescent="0.3">
      <c r="A176">
        <f t="shared" si="2"/>
        <v>175</v>
      </c>
      <c r="B176" t="s">
        <v>260</v>
      </c>
      <c r="C176" s="1">
        <v>45879</v>
      </c>
      <c r="D176" t="s">
        <v>35</v>
      </c>
      <c r="E176" s="6" t="s">
        <v>663</v>
      </c>
      <c r="F176" s="6" t="s">
        <v>21</v>
      </c>
      <c r="G176" s="6" t="s">
        <v>69</v>
      </c>
      <c r="H176" t="s">
        <v>15</v>
      </c>
      <c r="I176" s="6" t="s">
        <v>23</v>
      </c>
      <c r="J176" s="6" t="s">
        <v>36</v>
      </c>
      <c r="K176" s="6" t="s">
        <v>48</v>
      </c>
      <c r="L176" s="6" t="s">
        <v>56</v>
      </c>
      <c r="M176" s="12">
        <v>149</v>
      </c>
      <c r="N176" s="2">
        <v>129.85</v>
      </c>
      <c r="O176" s="4">
        <v>0.1144</v>
      </c>
      <c r="P176" s="2">
        <v>19347.649999999998</v>
      </c>
      <c r="Q176" s="2">
        <v>2857.0499999999997</v>
      </c>
      <c r="R176" s="2">
        <v>9563.0500000000011</v>
      </c>
      <c r="S176" s="2">
        <v>1817.2</v>
      </c>
      <c r="T176" s="2">
        <v>17134.278839999995</v>
      </c>
      <c r="U176" s="2">
        <v>2896.9788399999939</v>
      </c>
      <c r="V176" s="5">
        <v>0.16907503765124873</v>
      </c>
    </row>
    <row r="177" spans="1:22" x14ac:dyDescent="0.3">
      <c r="A177">
        <f t="shared" si="2"/>
        <v>176</v>
      </c>
      <c r="B177" t="s">
        <v>261</v>
      </c>
      <c r="C177" s="1">
        <v>45723</v>
      </c>
      <c r="D177" t="s">
        <v>41</v>
      </c>
      <c r="E177" s="6" t="s">
        <v>664</v>
      </c>
      <c r="F177" s="6" t="s">
        <v>63</v>
      </c>
      <c r="G177" s="6" t="s">
        <v>69</v>
      </c>
      <c r="H177" t="s">
        <v>27</v>
      </c>
      <c r="I177" s="6" t="s">
        <v>28</v>
      </c>
      <c r="J177" s="6" t="s">
        <v>17</v>
      </c>
      <c r="K177" s="6" t="s">
        <v>33</v>
      </c>
      <c r="L177" s="6" t="s">
        <v>70</v>
      </c>
      <c r="M177" s="12">
        <v>281</v>
      </c>
      <c r="N177" s="2">
        <v>100.8</v>
      </c>
      <c r="O177" s="4">
        <v>0.18350000000000002</v>
      </c>
      <c r="P177" s="2">
        <v>28324.799999999999</v>
      </c>
      <c r="Q177" s="2">
        <v>2621.5</v>
      </c>
      <c r="R177" s="2">
        <v>13247.15</v>
      </c>
      <c r="S177" s="2">
        <v>1157.1000000000001</v>
      </c>
      <c r="T177" s="2">
        <v>23127.199199999999</v>
      </c>
      <c r="U177" s="2">
        <v>6101.4492000000009</v>
      </c>
      <c r="V177" s="5">
        <v>0.26382136233772746</v>
      </c>
    </row>
    <row r="178" spans="1:22" x14ac:dyDescent="0.3">
      <c r="A178">
        <f t="shared" si="2"/>
        <v>177</v>
      </c>
      <c r="B178" t="s">
        <v>262</v>
      </c>
      <c r="C178" s="1">
        <v>45830</v>
      </c>
      <c r="D178" t="s">
        <v>58</v>
      </c>
      <c r="E178" s="6" t="s">
        <v>664</v>
      </c>
      <c r="F178" s="6" t="s">
        <v>63</v>
      </c>
      <c r="G178" s="6" t="s">
        <v>22</v>
      </c>
      <c r="H178" t="s">
        <v>15</v>
      </c>
      <c r="I178" s="6" t="s">
        <v>23</v>
      </c>
      <c r="J178" s="6" t="s">
        <v>32</v>
      </c>
      <c r="K178" s="6" t="s">
        <v>37</v>
      </c>
      <c r="L178" s="6" t="s">
        <v>38</v>
      </c>
      <c r="M178" s="12">
        <v>130</v>
      </c>
      <c r="N178" s="2">
        <v>86.8</v>
      </c>
      <c r="O178" s="4">
        <v>5.5E-2</v>
      </c>
      <c r="P178" s="2">
        <v>11284</v>
      </c>
      <c r="Q178" s="2">
        <v>1211</v>
      </c>
      <c r="R178" s="2">
        <v>5118.4000000000005</v>
      </c>
      <c r="S178" s="2">
        <v>1188.25</v>
      </c>
      <c r="T178" s="2">
        <v>10663.38</v>
      </c>
      <c r="U178" s="2">
        <v>3145.7299999999987</v>
      </c>
      <c r="V178" s="5">
        <v>0.29500308532566588</v>
      </c>
    </row>
    <row r="179" spans="1:22" x14ac:dyDescent="0.3">
      <c r="A179">
        <f t="shared" si="2"/>
        <v>178</v>
      </c>
      <c r="B179" t="s">
        <v>263</v>
      </c>
      <c r="C179" s="1">
        <v>45885</v>
      </c>
      <c r="D179" t="s">
        <v>35</v>
      </c>
      <c r="E179" s="6" t="s">
        <v>662</v>
      </c>
      <c r="F179" s="6" t="s">
        <v>66</v>
      </c>
      <c r="G179" s="6" t="s">
        <v>69</v>
      </c>
      <c r="H179" t="s">
        <v>15</v>
      </c>
      <c r="I179" s="6" t="s">
        <v>31</v>
      </c>
      <c r="J179" s="6" t="s">
        <v>32</v>
      </c>
      <c r="K179" s="6" t="s">
        <v>33</v>
      </c>
      <c r="L179" s="6" t="s">
        <v>53</v>
      </c>
      <c r="M179" s="12">
        <v>112</v>
      </c>
      <c r="N179" s="2">
        <v>64.75</v>
      </c>
      <c r="O179" s="4">
        <v>6.9099999999999995E-2</v>
      </c>
      <c r="P179" s="2">
        <v>7252</v>
      </c>
      <c r="Q179" s="2">
        <v>435.4</v>
      </c>
      <c r="R179" s="2">
        <v>4079.6</v>
      </c>
      <c r="S179" s="2">
        <v>278.25</v>
      </c>
      <c r="T179" s="2">
        <v>6750.8868000000002</v>
      </c>
      <c r="U179" s="2">
        <v>1957.6368000000002</v>
      </c>
      <c r="V179" s="5">
        <v>0.28998216945364869</v>
      </c>
    </row>
    <row r="180" spans="1:22" x14ac:dyDescent="0.3">
      <c r="A180">
        <f t="shared" si="2"/>
        <v>179</v>
      </c>
      <c r="B180" t="s">
        <v>264</v>
      </c>
      <c r="C180" s="1">
        <v>45690</v>
      </c>
      <c r="D180" t="s">
        <v>55</v>
      </c>
      <c r="E180" s="6" t="s">
        <v>664</v>
      </c>
      <c r="F180" s="6" t="s">
        <v>63</v>
      </c>
      <c r="G180" s="6" t="s">
        <v>22</v>
      </c>
      <c r="H180" t="s">
        <v>15</v>
      </c>
      <c r="I180" s="6" t="s">
        <v>23</v>
      </c>
      <c r="J180" s="6" t="s">
        <v>17</v>
      </c>
      <c r="K180" s="6" t="s">
        <v>48</v>
      </c>
      <c r="L180" s="6" t="s">
        <v>62</v>
      </c>
      <c r="M180" s="12">
        <v>58</v>
      </c>
      <c r="N180" s="2">
        <v>253.4</v>
      </c>
      <c r="O180" s="4">
        <v>5.7099999999999998E-2</v>
      </c>
      <c r="P180" s="2">
        <v>14697.2</v>
      </c>
      <c r="Q180" s="2">
        <v>2100.35</v>
      </c>
      <c r="R180" s="2">
        <v>9783.1999999999989</v>
      </c>
      <c r="S180" s="2">
        <v>1681.75</v>
      </c>
      <c r="T180" s="2">
        <v>13857.989880000001</v>
      </c>
      <c r="U180" s="2">
        <v>292.68988000000218</v>
      </c>
      <c r="V180" s="5">
        <v>2.1120659095184891E-2</v>
      </c>
    </row>
    <row r="181" spans="1:22" x14ac:dyDescent="0.3">
      <c r="A181">
        <f t="shared" si="2"/>
        <v>180</v>
      </c>
      <c r="B181" t="s">
        <v>265</v>
      </c>
      <c r="C181" s="1">
        <v>45868</v>
      </c>
      <c r="D181" t="s">
        <v>26</v>
      </c>
      <c r="E181" s="6" t="s">
        <v>664</v>
      </c>
      <c r="F181" s="6" t="s">
        <v>63</v>
      </c>
      <c r="G181" s="6" t="s">
        <v>82</v>
      </c>
      <c r="H181" t="s">
        <v>27</v>
      </c>
      <c r="I181" s="6" t="s">
        <v>31</v>
      </c>
      <c r="J181" s="6" t="s">
        <v>32</v>
      </c>
      <c r="K181" s="6" t="s">
        <v>33</v>
      </c>
      <c r="L181" s="6" t="s">
        <v>73</v>
      </c>
      <c r="M181" s="12">
        <v>309</v>
      </c>
      <c r="N181" s="2">
        <v>130.9</v>
      </c>
      <c r="O181" s="4">
        <v>0.11310000000000001</v>
      </c>
      <c r="P181" s="2">
        <v>40448.1</v>
      </c>
      <c r="Q181" s="2">
        <v>1793.75</v>
      </c>
      <c r="R181" s="2">
        <v>22115.100000000002</v>
      </c>
      <c r="S181" s="2">
        <v>1469.3</v>
      </c>
      <c r="T181" s="2">
        <v>35873.419889999997</v>
      </c>
      <c r="U181" s="2">
        <v>10495.269889999992</v>
      </c>
      <c r="V181" s="5">
        <v>0.29256396301724308</v>
      </c>
    </row>
    <row r="182" spans="1:22" x14ac:dyDescent="0.3">
      <c r="A182">
        <f t="shared" si="2"/>
        <v>181</v>
      </c>
      <c r="B182" t="s">
        <v>266</v>
      </c>
      <c r="C182" s="1">
        <v>45969</v>
      </c>
      <c r="D182" t="s">
        <v>67</v>
      </c>
      <c r="E182" s="6" t="s">
        <v>663</v>
      </c>
      <c r="F182" s="6" t="s">
        <v>21</v>
      </c>
      <c r="G182" s="6" t="s">
        <v>22</v>
      </c>
      <c r="H182" t="s">
        <v>15</v>
      </c>
      <c r="I182" s="6" t="s">
        <v>23</v>
      </c>
      <c r="J182" s="6" t="s">
        <v>17</v>
      </c>
      <c r="K182" s="6" t="s">
        <v>18</v>
      </c>
      <c r="L182" s="6" t="s">
        <v>25</v>
      </c>
      <c r="M182" s="12">
        <v>64</v>
      </c>
      <c r="N182" s="2">
        <v>98.699999999999989</v>
      </c>
      <c r="O182" s="4">
        <v>0.14410000000000001</v>
      </c>
      <c r="P182" s="2">
        <v>6316.7999999999993</v>
      </c>
      <c r="Q182" s="2">
        <v>740.95</v>
      </c>
      <c r="R182" s="2">
        <v>2595.25</v>
      </c>
      <c r="S182" s="2">
        <v>514.85</v>
      </c>
      <c r="T182" s="2">
        <v>5406.5491199999997</v>
      </c>
      <c r="U182" s="2">
        <v>1555.4991199999993</v>
      </c>
      <c r="V182" s="5">
        <v>0.2877064621952421</v>
      </c>
    </row>
    <row r="183" spans="1:22" x14ac:dyDescent="0.3">
      <c r="A183">
        <f t="shared" si="2"/>
        <v>182</v>
      </c>
      <c r="B183" t="s">
        <v>267</v>
      </c>
      <c r="C183" s="1">
        <v>46018</v>
      </c>
      <c r="D183" t="s">
        <v>50</v>
      </c>
      <c r="E183" s="6" t="s">
        <v>663</v>
      </c>
      <c r="F183" s="6" t="s">
        <v>21</v>
      </c>
      <c r="G183" s="6" t="s">
        <v>68</v>
      </c>
      <c r="H183" t="s">
        <v>15</v>
      </c>
      <c r="I183" s="6" t="s">
        <v>23</v>
      </c>
      <c r="J183" s="6" t="s">
        <v>32</v>
      </c>
      <c r="K183" s="6" t="s">
        <v>37</v>
      </c>
      <c r="L183" s="6" t="s">
        <v>72</v>
      </c>
      <c r="M183" s="12">
        <v>81</v>
      </c>
      <c r="N183" s="2">
        <v>65.45</v>
      </c>
      <c r="O183" s="4">
        <v>5.8600000000000006E-2</v>
      </c>
      <c r="P183" s="2">
        <v>5301.45</v>
      </c>
      <c r="Q183" s="2">
        <v>630.69999999999993</v>
      </c>
      <c r="R183" s="2">
        <v>2568.2999999999997</v>
      </c>
      <c r="S183" s="2">
        <v>463.40000000000003</v>
      </c>
      <c r="T183" s="2">
        <v>4990.78503</v>
      </c>
      <c r="U183" s="2">
        <v>1328.3850300000008</v>
      </c>
      <c r="V183" s="5">
        <v>0.26616755119985619</v>
      </c>
    </row>
    <row r="184" spans="1:22" x14ac:dyDescent="0.3">
      <c r="A184">
        <f t="shared" si="2"/>
        <v>183</v>
      </c>
      <c r="B184" t="s">
        <v>268</v>
      </c>
      <c r="C184" s="1">
        <v>45841</v>
      </c>
      <c r="D184" t="s">
        <v>26</v>
      </c>
      <c r="E184" s="6" t="s">
        <v>662</v>
      </c>
      <c r="F184" s="6" t="s">
        <v>42</v>
      </c>
      <c r="G184" s="6" t="s">
        <v>43</v>
      </c>
      <c r="H184" t="s">
        <v>15</v>
      </c>
      <c r="I184" s="6" t="s">
        <v>16</v>
      </c>
      <c r="J184" s="6" t="s">
        <v>36</v>
      </c>
      <c r="K184" s="6" t="s">
        <v>48</v>
      </c>
      <c r="L184" s="6" t="s">
        <v>49</v>
      </c>
      <c r="M184" s="12">
        <v>225</v>
      </c>
      <c r="N184" s="2">
        <v>106.4</v>
      </c>
      <c r="O184" s="4">
        <v>0.1041</v>
      </c>
      <c r="P184" s="2">
        <v>23940</v>
      </c>
      <c r="Q184" s="2">
        <v>2245.25</v>
      </c>
      <c r="R184" s="2">
        <v>13632.15</v>
      </c>
      <c r="S184" s="2">
        <v>1696.45</v>
      </c>
      <c r="T184" s="2">
        <v>21447.846000000001</v>
      </c>
      <c r="U184" s="2">
        <v>3873.996000000001</v>
      </c>
      <c r="V184" s="5">
        <v>0.18062401231340439</v>
      </c>
    </row>
    <row r="185" spans="1:22" x14ac:dyDescent="0.3">
      <c r="A185">
        <f t="shared" si="2"/>
        <v>184</v>
      </c>
      <c r="B185" t="s">
        <v>269</v>
      </c>
      <c r="C185" s="1">
        <v>46005</v>
      </c>
      <c r="D185" t="s">
        <v>50</v>
      </c>
      <c r="E185" s="6" t="s">
        <v>662</v>
      </c>
      <c r="F185" s="6" t="s">
        <v>42</v>
      </c>
      <c r="G185" s="6" t="s">
        <v>68</v>
      </c>
      <c r="H185" t="s">
        <v>27</v>
      </c>
      <c r="I185" s="6" t="s">
        <v>28</v>
      </c>
      <c r="J185" s="6" t="s">
        <v>32</v>
      </c>
      <c r="K185" s="6" t="s">
        <v>46</v>
      </c>
      <c r="L185" s="6" t="s">
        <v>89</v>
      </c>
      <c r="M185" s="12">
        <v>597</v>
      </c>
      <c r="N185" s="2">
        <v>87.5</v>
      </c>
      <c r="O185" s="4">
        <v>0.15529999999999999</v>
      </c>
      <c r="P185" s="2">
        <v>52237.5</v>
      </c>
      <c r="Q185" s="2">
        <v>2934.75</v>
      </c>
      <c r="R185" s="2">
        <v>25965.100000000002</v>
      </c>
      <c r="S185" s="2">
        <v>3230.15</v>
      </c>
      <c r="T185" s="2">
        <v>44125.016250000001</v>
      </c>
      <c r="U185" s="2">
        <v>11995.016249999997</v>
      </c>
      <c r="V185" s="5">
        <v>0.271841627933678</v>
      </c>
    </row>
    <row r="186" spans="1:22" x14ac:dyDescent="0.3">
      <c r="A186">
        <f t="shared" si="2"/>
        <v>185</v>
      </c>
      <c r="B186" t="s">
        <v>270</v>
      </c>
      <c r="C186" s="1">
        <v>45809</v>
      </c>
      <c r="D186" t="s">
        <v>58</v>
      </c>
      <c r="E186" s="6" t="s">
        <v>663</v>
      </c>
      <c r="F186" s="6" t="s">
        <v>21</v>
      </c>
      <c r="G186" s="6" t="s">
        <v>65</v>
      </c>
      <c r="H186" t="s">
        <v>27</v>
      </c>
      <c r="I186" s="6" t="s">
        <v>28</v>
      </c>
      <c r="J186" s="6" t="s">
        <v>45</v>
      </c>
      <c r="K186" s="6" t="s">
        <v>33</v>
      </c>
      <c r="L186" s="6" t="s">
        <v>34</v>
      </c>
      <c r="M186" s="12">
        <v>316</v>
      </c>
      <c r="N186" s="2">
        <v>106.05</v>
      </c>
      <c r="O186" s="4">
        <v>0.2303</v>
      </c>
      <c r="P186" s="2">
        <v>33511.799999999996</v>
      </c>
      <c r="Q186" s="2">
        <v>3091.9</v>
      </c>
      <c r="R186" s="2">
        <v>15526.35</v>
      </c>
      <c r="S186" s="2">
        <v>1455.3</v>
      </c>
      <c r="T186" s="2">
        <v>25794.032459999999</v>
      </c>
      <c r="U186" s="2">
        <v>5720.4824599999993</v>
      </c>
      <c r="V186" s="5">
        <v>0.22177542301193179</v>
      </c>
    </row>
    <row r="187" spans="1:22" x14ac:dyDescent="0.3">
      <c r="A187">
        <f t="shared" si="2"/>
        <v>186</v>
      </c>
      <c r="B187" t="s">
        <v>271</v>
      </c>
      <c r="C187" s="1">
        <v>45806</v>
      </c>
      <c r="D187" t="s">
        <v>30</v>
      </c>
      <c r="E187" s="6" t="s">
        <v>663</v>
      </c>
      <c r="F187" s="6" t="s">
        <v>21</v>
      </c>
      <c r="G187" s="6" t="s">
        <v>22</v>
      </c>
      <c r="H187" t="s">
        <v>15</v>
      </c>
      <c r="I187" s="6" t="s">
        <v>23</v>
      </c>
      <c r="J187" s="6" t="s">
        <v>84</v>
      </c>
      <c r="K187" s="6" t="s">
        <v>46</v>
      </c>
      <c r="L187" s="6" t="s">
        <v>51</v>
      </c>
      <c r="M187" s="12">
        <v>69</v>
      </c>
      <c r="N187" s="2">
        <v>153.64999999999998</v>
      </c>
      <c r="O187" s="4">
        <v>0.16820000000000002</v>
      </c>
      <c r="P187" s="2">
        <v>10601.849999999999</v>
      </c>
      <c r="Q187" s="2">
        <v>1863.4</v>
      </c>
      <c r="R187" s="2">
        <v>4238.1500000000005</v>
      </c>
      <c r="S187" s="2">
        <v>983.85</v>
      </c>
      <c r="T187" s="2">
        <v>8818.6188299999994</v>
      </c>
      <c r="U187" s="2">
        <v>1733.2188299999984</v>
      </c>
      <c r="V187" s="5">
        <v>0.19654084878958292</v>
      </c>
    </row>
    <row r="188" spans="1:22" x14ac:dyDescent="0.3">
      <c r="A188">
        <f t="shared" si="2"/>
        <v>187</v>
      </c>
      <c r="B188" t="s">
        <v>272</v>
      </c>
      <c r="C188" s="1">
        <v>45922</v>
      </c>
      <c r="D188" t="s">
        <v>14</v>
      </c>
      <c r="E188" s="6" t="s">
        <v>662</v>
      </c>
      <c r="F188" s="6" t="s">
        <v>66</v>
      </c>
      <c r="G188" s="6" t="s">
        <v>82</v>
      </c>
      <c r="H188" t="s">
        <v>27</v>
      </c>
      <c r="I188" s="6" t="s">
        <v>31</v>
      </c>
      <c r="J188" s="6" t="s">
        <v>84</v>
      </c>
      <c r="K188" s="6" t="s">
        <v>37</v>
      </c>
      <c r="L188" s="6" t="s">
        <v>72</v>
      </c>
      <c r="M188" s="12">
        <v>877</v>
      </c>
      <c r="N188" s="2">
        <v>56.35</v>
      </c>
      <c r="O188" s="4">
        <v>0.21530000000000002</v>
      </c>
      <c r="P188" s="2">
        <v>49418.950000000004</v>
      </c>
      <c r="Q188" s="2">
        <v>3908.1</v>
      </c>
      <c r="R188" s="2">
        <v>19901</v>
      </c>
      <c r="S188" s="2">
        <v>1659.7</v>
      </c>
      <c r="T188" s="2">
        <v>38779.050065000003</v>
      </c>
      <c r="U188" s="2">
        <v>13310.250065000006</v>
      </c>
      <c r="V188" s="5">
        <v>0.34323300964541059</v>
      </c>
    </row>
    <row r="189" spans="1:22" x14ac:dyDescent="0.3">
      <c r="A189">
        <f t="shared" si="2"/>
        <v>188</v>
      </c>
      <c r="B189" t="s">
        <v>273</v>
      </c>
      <c r="C189" s="1">
        <v>45854</v>
      </c>
      <c r="D189" t="s">
        <v>26</v>
      </c>
      <c r="E189" s="6" t="s">
        <v>663</v>
      </c>
      <c r="F189" s="6" t="s">
        <v>21</v>
      </c>
      <c r="G189" s="6" t="s">
        <v>68</v>
      </c>
      <c r="H189" t="s">
        <v>15</v>
      </c>
      <c r="I189" s="6" t="s">
        <v>23</v>
      </c>
      <c r="J189" s="6" t="s">
        <v>52</v>
      </c>
      <c r="K189" s="6" t="s">
        <v>33</v>
      </c>
      <c r="L189" s="6" t="s">
        <v>70</v>
      </c>
      <c r="M189" s="12">
        <v>27</v>
      </c>
      <c r="N189" s="2">
        <v>101.85000000000001</v>
      </c>
      <c r="O189" s="4">
        <v>0.11560000000000001</v>
      </c>
      <c r="P189" s="2">
        <v>2749.9500000000003</v>
      </c>
      <c r="Q189" s="2">
        <v>420.34999999999997</v>
      </c>
      <c r="R189" s="2">
        <v>1466.85</v>
      </c>
      <c r="S189" s="2">
        <v>220.15</v>
      </c>
      <c r="T189" s="2">
        <v>2432.0557800000001</v>
      </c>
      <c r="U189" s="2">
        <v>324.70578000000017</v>
      </c>
      <c r="V189" s="5">
        <v>0.13351082761761335</v>
      </c>
    </row>
    <row r="190" spans="1:22" x14ac:dyDescent="0.3">
      <c r="A190">
        <f t="shared" si="2"/>
        <v>189</v>
      </c>
      <c r="B190" t="s">
        <v>274</v>
      </c>
      <c r="C190" s="1">
        <v>45910</v>
      </c>
      <c r="D190" t="s">
        <v>14</v>
      </c>
      <c r="E190" s="6" t="s">
        <v>663</v>
      </c>
      <c r="F190" s="6" t="s">
        <v>21</v>
      </c>
      <c r="G190" s="6" t="s">
        <v>43</v>
      </c>
      <c r="H190" t="s">
        <v>15</v>
      </c>
      <c r="I190" s="6" t="s">
        <v>23</v>
      </c>
      <c r="J190" s="6" t="s">
        <v>17</v>
      </c>
      <c r="K190" s="6" t="s">
        <v>18</v>
      </c>
      <c r="L190" s="6" t="s">
        <v>25</v>
      </c>
      <c r="M190" s="12">
        <v>12</v>
      </c>
      <c r="N190" s="2">
        <v>89.25</v>
      </c>
      <c r="O190" s="4">
        <v>7.3399999999999993E-2</v>
      </c>
      <c r="P190" s="2">
        <v>1071</v>
      </c>
      <c r="Q190" s="2">
        <v>194.25</v>
      </c>
      <c r="R190" s="2">
        <v>476.34999999999997</v>
      </c>
      <c r="S190" s="2">
        <v>106.05</v>
      </c>
      <c r="T190" s="2">
        <v>992.3886</v>
      </c>
      <c r="U190" s="2">
        <v>215.73860000000008</v>
      </c>
      <c r="V190" s="5">
        <v>0.21739326711330631</v>
      </c>
    </row>
    <row r="191" spans="1:22" x14ac:dyDescent="0.3">
      <c r="A191">
        <f t="shared" si="2"/>
        <v>190</v>
      </c>
      <c r="B191" t="s">
        <v>275</v>
      </c>
      <c r="C191" s="1">
        <v>45826</v>
      </c>
      <c r="D191" t="s">
        <v>58</v>
      </c>
      <c r="E191" s="6" t="s">
        <v>662</v>
      </c>
      <c r="F191" s="6" t="s">
        <v>66</v>
      </c>
      <c r="G191" s="6" t="s">
        <v>43</v>
      </c>
      <c r="H191" t="s">
        <v>15</v>
      </c>
      <c r="I191" s="6" t="s">
        <v>28</v>
      </c>
      <c r="J191" s="6" t="s">
        <v>45</v>
      </c>
      <c r="K191" s="6" t="s">
        <v>33</v>
      </c>
      <c r="L191" s="6" t="s">
        <v>70</v>
      </c>
      <c r="M191" s="12">
        <v>334</v>
      </c>
      <c r="N191" s="2">
        <v>107.8</v>
      </c>
      <c r="O191" s="4">
        <v>0.15</v>
      </c>
      <c r="P191" s="2">
        <v>36005.199999999997</v>
      </c>
      <c r="Q191" s="2">
        <v>8295.35</v>
      </c>
      <c r="R191" s="2">
        <v>16885.400000000001</v>
      </c>
      <c r="S191" s="2">
        <v>1886.5</v>
      </c>
      <c r="T191" s="2">
        <v>30604.42</v>
      </c>
      <c r="U191" s="2">
        <v>3537.1699999999964</v>
      </c>
      <c r="V191" s="5">
        <v>0.11557709638019595</v>
      </c>
    </row>
    <row r="192" spans="1:22" x14ac:dyDescent="0.3">
      <c r="A192">
        <f t="shared" si="2"/>
        <v>191</v>
      </c>
      <c r="B192" t="s">
        <v>276</v>
      </c>
      <c r="C192" s="1">
        <v>45873</v>
      </c>
      <c r="D192" t="s">
        <v>35</v>
      </c>
      <c r="E192" s="6" t="s">
        <v>664</v>
      </c>
      <c r="F192" s="6" t="s">
        <v>63</v>
      </c>
      <c r="G192" s="6" t="s">
        <v>69</v>
      </c>
      <c r="H192" t="s">
        <v>15</v>
      </c>
      <c r="I192" s="6" t="s">
        <v>28</v>
      </c>
      <c r="J192" s="6" t="s">
        <v>24</v>
      </c>
      <c r="K192" s="6" t="s">
        <v>48</v>
      </c>
      <c r="L192" s="6" t="s">
        <v>57</v>
      </c>
      <c r="M192" s="12">
        <v>106</v>
      </c>
      <c r="N192" s="2">
        <v>82.25</v>
      </c>
      <c r="O192" s="4">
        <v>7.6999999999999999E-2</v>
      </c>
      <c r="P192" s="2">
        <v>8718.5</v>
      </c>
      <c r="Q192" s="2">
        <v>894.95</v>
      </c>
      <c r="R192" s="2">
        <v>5901.35</v>
      </c>
      <c r="S192" s="2">
        <v>581</v>
      </c>
      <c r="T192" s="2">
        <v>8047.1755000000003</v>
      </c>
      <c r="U192" s="2">
        <v>669.87549999999987</v>
      </c>
      <c r="V192" s="5">
        <v>8.3243555456197008E-2</v>
      </c>
    </row>
    <row r="193" spans="1:22" x14ac:dyDescent="0.3">
      <c r="A193">
        <f t="shared" si="2"/>
        <v>192</v>
      </c>
      <c r="B193" t="s">
        <v>277</v>
      </c>
      <c r="C193" s="1">
        <v>45769</v>
      </c>
      <c r="D193" t="s">
        <v>61</v>
      </c>
      <c r="E193" s="6" t="s">
        <v>662</v>
      </c>
      <c r="F193" s="6" t="s">
        <v>42</v>
      </c>
      <c r="G193" s="6" t="s">
        <v>64</v>
      </c>
      <c r="H193" t="s">
        <v>27</v>
      </c>
      <c r="I193" s="6" t="s">
        <v>16</v>
      </c>
      <c r="J193" s="6" t="s">
        <v>32</v>
      </c>
      <c r="K193" s="6" t="s">
        <v>46</v>
      </c>
      <c r="L193" s="6" t="s">
        <v>47</v>
      </c>
      <c r="M193" s="12">
        <v>152</v>
      </c>
      <c r="N193" s="2">
        <v>151.20000000000002</v>
      </c>
      <c r="O193" s="4">
        <v>0.10460000000000001</v>
      </c>
      <c r="P193" s="2">
        <v>22982.400000000001</v>
      </c>
      <c r="Q193" s="2">
        <v>4288.9000000000005</v>
      </c>
      <c r="R193" s="2">
        <v>12239.15</v>
      </c>
      <c r="S193" s="2">
        <v>1634.5</v>
      </c>
      <c r="T193" s="2">
        <v>20578.44096</v>
      </c>
      <c r="U193" s="2">
        <v>2415.8909599999997</v>
      </c>
      <c r="V193" s="5">
        <v>0.11739912487520142</v>
      </c>
    </row>
    <row r="194" spans="1:22" x14ac:dyDescent="0.3">
      <c r="A194">
        <f t="shared" ref="A194:A257" si="3">ROW(B193)</f>
        <v>193</v>
      </c>
      <c r="B194" t="s">
        <v>278</v>
      </c>
      <c r="C194" s="1">
        <v>45846</v>
      </c>
      <c r="D194" t="s">
        <v>26</v>
      </c>
      <c r="E194" s="6" t="s">
        <v>662</v>
      </c>
      <c r="F194" s="6" t="s">
        <v>66</v>
      </c>
      <c r="G194" s="6" t="s">
        <v>65</v>
      </c>
      <c r="H194" t="s">
        <v>15</v>
      </c>
      <c r="I194" s="6" t="s">
        <v>23</v>
      </c>
      <c r="J194" s="6" t="s">
        <v>84</v>
      </c>
      <c r="K194" s="6" t="s">
        <v>46</v>
      </c>
      <c r="L194" s="6" t="s">
        <v>83</v>
      </c>
      <c r="M194" s="12">
        <v>70</v>
      </c>
      <c r="N194" s="2">
        <v>128.80000000000001</v>
      </c>
      <c r="O194" s="4">
        <v>0.13150000000000001</v>
      </c>
      <c r="P194" s="2">
        <v>9016</v>
      </c>
      <c r="Q194" s="2">
        <v>1270.8500000000001</v>
      </c>
      <c r="R194" s="2">
        <v>4683.7</v>
      </c>
      <c r="S194" s="2">
        <v>955.84999999999991</v>
      </c>
      <c r="T194" s="2">
        <v>7830.3960000000006</v>
      </c>
      <c r="U194" s="2">
        <v>919.99600000000032</v>
      </c>
      <c r="V194" s="5">
        <v>0.11749035425539146</v>
      </c>
    </row>
    <row r="195" spans="1:22" x14ac:dyDescent="0.3">
      <c r="A195">
        <f t="shared" si="3"/>
        <v>194</v>
      </c>
      <c r="B195" t="s">
        <v>279</v>
      </c>
      <c r="C195" s="1">
        <v>45910</v>
      </c>
      <c r="D195" t="s">
        <v>14</v>
      </c>
      <c r="E195" s="6" t="s">
        <v>664</v>
      </c>
      <c r="F195" s="6" t="s">
        <v>63</v>
      </c>
      <c r="G195" s="6" t="s">
        <v>64</v>
      </c>
      <c r="H195" t="s">
        <v>15</v>
      </c>
      <c r="I195" s="6" t="s">
        <v>23</v>
      </c>
      <c r="J195" s="6" t="s">
        <v>24</v>
      </c>
      <c r="K195" s="6" t="s">
        <v>33</v>
      </c>
      <c r="L195" s="6" t="s">
        <v>53</v>
      </c>
      <c r="M195" s="12">
        <v>100</v>
      </c>
      <c r="N195" s="2">
        <v>72.8</v>
      </c>
      <c r="O195" s="4">
        <v>0.1168</v>
      </c>
      <c r="P195" s="2">
        <v>7280</v>
      </c>
      <c r="Q195" s="2">
        <v>1096.55</v>
      </c>
      <c r="R195" s="2">
        <v>3941</v>
      </c>
      <c r="S195" s="2">
        <v>627.20000000000005</v>
      </c>
      <c r="T195" s="2">
        <v>6429.6959999999999</v>
      </c>
      <c r="U195" s="2">
        <v>764.94600000000014</v>
      </c>
      <c r="V195" s="5">
        <v>0.11897078804347828</v>
      </c>
    </row>
    <row r="196" spans="1:22" x14ac:dyDescent="0.3">
      <c r="A196">
        <f t="shared" si="3"/>
        <v>195</v>
      </c>
      <c r="B196" t="s">
        <v>280</v>
      </c>
      <c r="C196" s="1">
        <v>45971</v>
      </c>
      <c r="D196" t="s">
        <v>67</v>
      </c>
      <c r="E196" s="6" t="s">
        <v>664</v>
      </c>
      <c r="F196" s="6" t="s">
        <v>63</v>
      </c>
      <c r="G196" s="6" t="s">
        <v>69</v>
      </c>
      <c r="H196" t="s">
        <v>15</v>
      </c>
      <c r="I196" s="6" t="s">
        <v>23</v>
      </c>
      <c r="J196" s="6" t="s">
        <v>52</v>
      </c>
      <c r="K196" s="6" t="s">
        <v>18</v>
      </c>
      <c r="L196" s="6" t="s">
        <v>71</v>
      </c>
      <c r="M196" s="12">
        <v>40</v>
      </c>
      <c r="N196" s="2">
        <v>95.9</v>
      </c>
      <c r="O196" s="4">
        <v>0.13750000000000001</v>
      </c>
      <c r="P196" s="2">
        <v>3836</v>
      </c>
      <c r="Q196" s="2">
        <v>1176</v>
      </c>
      <c r="R196" s="2">
        <v>1587.9499999999998</v>
      </c>
      <c r="S196" s="2">
        <v>289.09999999999997</v>
      </c>
      <c r="T196" s="2">
        <v>3308.55</v>
      </c>
      <c r="U196" s="2">
        <v>255.50000000000045</v>
      </c>
      <c r="V196" s="5">
        <v>7.7224161641806968E-2</v>
      </c>
    </row>
    <row r="197" spans="1:22" x14ac:dyDescent="0.3">
      <c r="A197">
        <f t="shared" si="3"/>
        <v>196</v>
      </c>
      <c r="B197" t="s">
        <v>281</v>
      </c>
      <c r="C197" s="1">
        <v>45967</v>
      </c>
      <c r="D197" t="s">
        <v>67</v>
      </c>
      <c r="E197" s="6" t="s">
        <v>664</v>
      </c>
      <c r="F197" s="6" t="s">
        <v>63</v>
      </c>
      <c r="G197" s="6" t="s">
        <v>69</v>
      </c>
      <c r="H197" t="s">
        <v>15</v>
      </c>
      <c r="I197" s="6" t="s">
        <v>23</v>
      </c>
      <c r="J197" s="6" t="s">
        <v>17</v>
      </c>
      <c r="K197" s="6" t="s">
        <v>37</v>
      </c>
      <c r="L197" s="6" t="s">
        <v>72</v>
      </c>
      <c r="M197" s="12">
        <v>103</v>
      </c>
      <c r="N197" s="2">
        <v>64.75</v>
      </c>
      <c r="O197" s="4">
        <v>0.1114</v>
      </c>
      <c r="P197" s="2">
        <v>6669.25</v>
      </c>
      <c r="Q197" s="2">
        <v>1374.45</v>
      </c>
      <c r="R197" s="2">
        <v>3021.2</v>
      </c>
      <c r="S197" s="2">
        <v>586.6</v>
      </c>
      <c r="T197" s="2">
        <v>5926.2955500000007</v>
      </c>
      <c r="U197" s="2">
        <v>944.0455500000005</v>
      </c>
      <c r="V197" s="5">
        <v>0.15929775051465336</v>
      </c>
    </row>
    <row r="198" spans="1:22" x14ac:dyDescent="0.3">
      <c r="A198">
        <f t="shared" si="3"/>
        <v>197</v>
      </c>
      <c r="B198" t="s">
        <v>282</v>
      </c>
      <c r="C198" s="1">
        <v>46006</v>
      </c>
      <c r="D198" t="s">
        <v>50</v>
      </c>
      <c r="E198" s="6" t="s">
        <v>664</v>
      </c>
      <c r="F198" s="6" t="s">
        <v>63</v>
      </c>
      <c r="G198" s="6" t="s">
        <v>82</v>
      </c>
      <c r="H198" t="s">
        <v>15</v>
      </c>
      <c r="I198" s="6" t="s">
        <v>28</v>
      </c>
      <c r="J198" s="6" t="s">
        <v>45</v>
      </c>
      <c r="K198" s="6" t="s">
        <v>18</v>
      </c>
      <c r="L198" s="6" t="s">
        <v>71</v>
      </c>
      <c r="M198" s="12">
        <v>129</v>
      </c>
      <c r="N198" s="2">
        <v>89.25</v>
      </c>
      <c r="O198" s="4">
        <v>0.18230000000000002</v>
      </c>
      <c r="P198" s="2">
        <v>11513.25</v>
      </c>
      <c r="Q198" s="2">
        <v>1012.9000000000001</v>
      </c>
      <c r="R198" s="2">
        <v>4947.95</v>
      </c>
      <c r="S198" s="2">
        <v>472.84999999999997</v>
      </c>
      <c r="T198" s="2">
        <v>9414.3845249999995</v>
      </c>
      <c r="U198" s="2">
        <v>2980.6845249999992</v>
      </c>
      <c r="V198" s="5">
        <v>0.31660960066850458</v>
      </c>
    </row>
    <row r="199" spans="1:22" x14ac:dyDescent="0.3">
      <c r="A199">
        <f t="shared" si="3"/>
        <v>198</v>
      </c>
      <c r="B199" t="s">
        <v>283</v>
      </c>
      <c r="C199" s="1">
        <v>45859</v>
      </c>
      <c r="D199" t="s">
        <v>26</v>
      </c>
      <c r="E199" s="6" t="s">
        <v>662</v>
      </c>
      <c r="F199" s="6" t="s">
        <v>42</v>
      </c>
      <c r="G199" s="6" t="s">
        <v>39</v>
      </c>
      <c r="H199" t="s">
        <v>15</v>
      </c>
      <c r="I199" s="6" t="s">
        <v>23</v>
      </c>
      <c r="J199" s="6" t="s">
        <v>24</v>
      </c>
      <c r="K199" s="6" t="s">
        <v>46</v>
      </c>
      <c r="L199" s="6" t="s">
        <v>89</v>
      </c>
      <c r="M199" s="12">
        <v>66</v>
      </c>
      <c r="N199" s="2">
        <v>94.85</v>
      </c>
      <c r="O199" s="4">
        <v>0.12670000000000001</v>
      </c>
      <c r="P199" s="2">
        <v>6260.0999999999995</v>
      </c>
      <c r="Q199" s="2">
        <v>770.69999999999993</v>
      </c>
      <c r="R199" s="2">
        <v>2919.7000000000003</v>
      </c>
      <c r="S199" s="2">
        <v>556.5</v>
      </c>
      <c r="T199" s="2">
        <v>5466.9453299999996</v>
      </c>
      <c r="U199" s="2">
        <v>1220.0453299999995</v>
      </c>
      <c r="V199" s="5">
        <v>0.22316764780964063</v>
      </c>
    </row>
    <row r="200" spans="1:22" x14ac:dyDescent="0.3">
      <c r="A200">
        <f t="shared" si="3"/>
        <v>199</v>
      </c>
      <c r="B200" t="s">
        <v>284</v>
      </c>
      <c r="C200" s="1">
        <v>45738</v>
      </c>
      <c r="D200" t="s">
        <v>41</v>
      </c>
      <c r="E200" s="6" t="s">
        <v>664</v>
      </c>
      <c r="F200" s="6" t="s">
        <v>63</v>
      </c>
      <c r="G200" s="6" t="s">
        <v>68</v>
      </c>
      <c r="H200" t="s">
        <v>15</v>
      </c>
      <c r="I200" s="6" t="s">
        <v>23</v>
      </c>
      <c r="J200" s="6" t="s">
        <v>24</v>
      </c>
      <c r="K200" s="6" t="s">
        <v>48</v>
      </c>
      <c r="L200" s="6" t="s">
        <v>74</v>
      </c>
      <c r="M200" s="12">
        <v>16</v>
      </c>
      <c r="N200" s="2">
        <v>155.04999999999998</v>
      </c>
      <c r="O200" s="4">
        <v>0.12119999999999999</v>
      </c>
      <c r="P200" s="2">
        <v>2480.7999999999997</v>
      </c>
      <c r="Q200" s="2">
        <v>428.75</v>
      </c>
      <c r="R200" s="2">
        <v>1519.35</v>
      </c>
      <c r="S200" s="2">
        <v>218.05</v>
      </c>
      <c r="T200" s="2">
        <v>2180.1270399999999</v>
      </c>
      <c r="U200" s="2">
        <v>13.977039999999988</v>
      </c>
      <c r="V200" s="5">
        <v>6.4111126294731837E-3</v>
      </c>
    </row>
    <row r="201" spans="1:22" x14ac:dyDescent="0.3">
      <c r="A201">
        <f t="shared" si="3"/>
        <v>200</v>
      </c>
      <c r="B201" t="s">
        <v>285</v>
      </c>
      <c r="C201" s="1">
        <v>45938</v>
      </c>
      <c r="D201" t="s">
        <v>20</v>
      </c>
      <c r="E201" s="6" t="s">
        <v>663</v>
      </c>
      <c r="F201" s="6" t="s">
        <v>21</v>
      </c>
      <c r="G201" s="6" t="s">
        <v>68</v>
      </c>
      <c r="H201" t="s">
        <v>15</v>
      </c>
      <c r="I201" s="6" t="s">
        <v>23</v>
      </c>
      <c r="J201" s="6" t="s">
        <v>32</v>
      </c>
      <c r="K201" s="6" t="s">
        <v>33</v>
      </c>
      <c r="L201" s="6" t="s">
        <v>73</v>
      </c>
      <c r="M201" s="12">
        <v>37</v>
      </c>
      <c r="N201" s="2">
        <v>133.35</v>
      </c>
      <c r="O201" s="4">
        <v>5.5099999999999996E-2</v>
      </c>
      <c r="P201" s="2">
        <v>4933.95</v>
      </c>
      <c r="Q201" s="2">
        <v>778.75</v>
      </c>
      <c r="R201" s="2">
        <v>2803.85</v>
      </c>
      <c r="S201" s="2">
        <v>510.65</v>
      </c>
      <c r="T201" s="2">
        <v>4662.0893550000001</v>
      </c>
      <c r="U201" s="2">
        <v>568.83935500000052</v>
      </c>
      <c r="V201" s="5">
        <v>0.12201382506535002</v>
      </c>
    </row>
    <row r="202" spans="1:22" x14ac:dyDescent="0.3">
      <c r="A202">
        <f t="shared" si="3"/>
        <v>201</v>
      </c>
      <c r="B202" t="s">
        <v>286</v>
      </c>
      <c r="C202" s="1">
        <v>45838</v>
      </c>
      <c r="D202" t="s">
        <v>58</v>
      </c>
      <c r="E202" s="6" t="s">
        <v>662</v>
      </c>
      <c r="F202" s="6" t="s">
        <v>42</v>
      </c>
      <c r="G202" s="6" t="s">
        <v>22</v>
      </c>
      <c r="H202" t="s">
        <v>27</v>
      </c>
      <c r="I202" s="6" t="s">
        <v>31</v>
      </c>
      <c r="J202" s="6" t="s">
        <v>45</v>
      </c>
      <c r="K202" s="6" t="s">
        <v>48</v>
      </c>
      <c r="L202" s="6" t="s">
        <v>57</v>
      </c>
      <c r="M202" s="12">
        <v>318</v>
      </c>
      <c r="N202" s="2">
        <v>86.45</v>
      </c>
      <c r="O202" s="4">
        <v>0.24979999999999999</v>
      </c>
      <c r="P202" s="2">
        <v>27491.100000000002</v>
      </c>
      <c r="Q202" s="2">
        <v>4435.2</v>
      </c>
      <c r="R202" s="2">
        <v>14835.8</v>
      </c>
      <c r="S202" s="2">
        <v>1049.6499999999999</v>
      </c>
      <c r="T202" s="2">
        <v>20623.823220000002</v>
      </c>
      <c r="U202" s="2">
        <v>303.17322000000149</v>
      </c>
      <c r="V202" s="5">
        <v>1.4700146367914875E-2</v>
      </c>
    </row>
    <row r="203" spans="1:22" x14ac:dyDescent="0.3">
      <c r="A203">
        <f t="shared" si="3"/>
        <v>202</v>
      </c>
      <c r="B203" t="s">
        <v>287</v>
      </c>
      <c r="C203" s="1">
        <v>45972</v>
      </c>
      <c r="D203" t="s">
        <v>67</v>
      </c>
      <c r="E203" s="6" t="s">
        <v>662</v>
      </c>
      <c r="F203" s="6" t="s">
        <v>42</v>
      </c>
      <c r="G203" s="6" t="s">
        <v>64</v>
      </c>
      <c r="H203" t="s">
        <v>15</v>
      </c>
      <c r="I203" s="6" t="s">
        <v>23</v>
      </c>
      <c r="J203" s="6" t="s">
        <v>24</v>
      </c>
      <c r="K203" s="6" t="s">
        <v>33</v>
      </c>
      <c r="L203" s="6" t="s">
        <v>70</v>
      </c>
      <c r="M203" s="12">
        <v>42</v>
      </c>
      <c r="N203" s="2">
        <v>112</v>
      </c>
      <c r="O203" s="4">
        <v>0.12990000000000002</v>
      </c>
      <c r="P203" s="2">
        <v>4704</v>
      </c>
      <c r="Q203" s="2">
        <v>621.6</v>
      </c>
      <c r="R203" s="2">
        <v>2452.4499999999998</v>
      </c>
      <c r="S203" s="2">
        <v>442.05</v>
      </c>
      <c r="T203" s="2">
        <v>4092.9503999999997</v>
      </c>
      <c r="U203" s="2">
        <v>576.85039999999969</v>
      </c>
      <c r="V203" s="5">
        <v>0.14093754959747368</v>
      </c>
    </row>
    <row r="204" spans="1:22" x14ac:dyDescent="0.3">
      <c r="A204">
        <f t="shared" si="3"/>
        <v>203</v>
      </c>
      <c r="B204" t="s">
        <v>288</v>
      </c>
      <c r="C204" s="1">
        <v>45764</v>
      </c>
      <c r="D204" t="s">
        <v>61</v>
      </c>
      <c r="E204" s="6" t="s">
        <v>664</v>
      </c>
      <c r="F204" s="6" t="s">
        <v>63</v>
      </c>
      <c r="G204" s="6" t="s">
        <v>43</v>
      </c>
      <c r="H204" t="s">
        <v>15</v>
      </c>
      <c r="I204" s="6" t="s">
        <v>16</v>
      </c>
      <c r="J204" s="6" t="s">
        <v>17</v>
      </c>
      <c r="K204" s="6" t="s">
        <v>46</v>
      </c>
      <c r="L204" s="6" t="s">
        <v>81</v>
      </c>
      <c r="M204" s="12">
        <v>24</v>
      </c>
      <c r="N204" s="2">
        <v>140.35</v>
      </c>
      <c r="O204" s="4">
        <v>0.13140000000000002</v>
      </c>
      <c r="P204" s="2">
        <v>3368.3999999999996</v>
      </c>
      <c r="Q204" s="2">
        <v>334.6</v>
      </c>
      <c r="R204" s="2">
        <v>1501.15</v>
      </c>
      <c r="S204" s="2">
        <v>250.6</v>
      </c>
      <c r="T204" s="2">
        <v>2925.7922399999998</v>
      </c>
      <c r="U204" s="2">
        <v>839.44223999999974</v>
      </c>
      <c r="V204" s="5">
        <v>0.28691108976350277</v>
      </c>
    </row>
    <row r="205" spans="1:22" x14ac:dyDescent="0.3">
      <c r="A205">
        <f t="shared" si="3"/>
        <v>204</v>
      </c>
      <c r="B205" t="s">
        <v>289</v>
      </c>
      <c r="C205" s="1">
        <v>46001</v>
      </c>
      <c r="D205" t="s">
        <v>50</v>
      </c>
      <c r="E205" s="6" t="s">
        <v>663</v>
      </c>
      <c r="F205" s="6" t="s">
        <v>21</v>
      </c>
      <c r="G205" s="6" t="s">
        <v>64</v>
      </c>
      <c r="H205" t="s">
        <v>15</v>
      </c>
      <c r="I205" s="6" t="s">
        <v>23</v>
      </c>
      <c r="J205" s="6" t="s">
        <v>84</v>
      </c>
      <c r="K205" s="6" t="s">
        <v>18</v>
      </c>
      <c r="L205" s="6" t="s">
        <v>80</v>
      </c>
      <c r="M205" s="12">
        <v>31</v>
      </c>
      <c r="N205" s="2">
        <v>80.5</v>
      </c>
      <c r="O205" s="4">
        <v>0.13800000000000001</v>
      </c>
      <c r="P205" s="2">
        <v>2495.5</v>
      </c>
      <c r="Q205" s="2">
        <v>393.75</v>
      </c>
      <c r="R205" s="2">
        <v>1032.5</v>
      </c>
      <c r="S205" s="2">
        <v>198.1</v>
      </c>
      <c r="T205" s="2">
        <v>2151.1210000000001</v>
      </c>
      <c r="U205" s="2">
        <v>526.77100000000019</v>
      </c>
      <c r="V205" s="5">
        <v>0.24488208706065356</v>
      </c>
    </row>
    <row r="206" spans="1:22" x14ac:dyDescent="0.3">
      <c r="A206">
        <f t="shared" si="3"/>
        <v>205</v>
      </c>
      <c r="B206" t="s">
        <v>290</v>
      </c>
      <c r="C206" s="1">
        <v>45883</v>
      </c>
      <c r="D206" t="s">
        <v>35</v>
      </c>
      <c r="E206" s="6" t="s">
        <v>662</v>
      </c>
      <c r="F206" s="6" t="s">
        <v>66</v>
      </c>
      <c r="G206" s="6" t="s">
        <v>64</v>
      </c>
      <c r="H206" t="s">
        <v>27</v>
      </c>
      <c r="I206" s="6" t="s">
        <v>16</v>
      </c>
      <c r="J206" s="6" t="s">
        <v>84</v>
      </c>
      <c r="K206" s="6" t="s">
        <v>33</v>
      </c>
      <c r="L206" s="6" t="s">
        <v>70</v>
      </c>
      <c r="M206" s="12">
        <v>122</v>
      </c>
      <c r="N206" s="2">
        <v>103.6</v>
      </c>
      <c r="O206" s="4">
        <v>0.1343</v>
      </c>
      <c r="P206" s="2">
        <v>12639.199999999999</v>
      </c>
      <c r="Q206" s="2">
        <v>4534.6000000000004</v>
      </c>
      <c r="R206" s="2">
        <v>6344.4500000000007</v>
      </c>
      <c r="S206" s="2">
        <v>735.35</v>
      </c>
      <c r="T206" s="2">
        <v>10941.755439999999</v>
      </c>
      <c r="U206" s="2">
        <v>-672.64456000000246</v>
      </c>
      <c r="V206" s="5">
        <v>-6.1475013190388263E-2</v>
      </c>
    </row>
    <row r="207" spans="1:22" x14ac:dyDescent="0.3">
      <c r="A207">
        <f t="shared" si="3"/>
        <v>206</v>
      </c>
      <c r="B207" t="s">
        <v>291</v>
      </c>
      <c r="C207" s="1">
        <v>45728</v>
      </c>
      <c r="D207" t="s">
        <v>41</v>
      </c>
      <c r="E207" s="6" t="s">
        <v>663</v>
      </c>
      <c r="F207" s="6" t="s">
        <v>21</v>
      </c>
      <c r="G207" s="6" t="s">
        <v>69</v>
      </c>
      <c r="H207" t="s">
        <v>27</v>
      </c>
      <c r="I207" s="6" t="s">
        <v>16</v>
      </c>
      <c r="J207" s="6" t="s">
        <v>32</v>
      </c>
      <c r="K207" s="6" t="s">
        <v>48</v>
      </c>
      <c r="L207" s="6" t="s">
        <v>57</v>
      </c>
      <c r="M207" s="12">
        <v>80</v>
      </c>
      <c r="N207" s="2">
        <v>87.85</v>
      </c>
      <c r="O207" s="4">
        <v>5.7500000000000002E-2</v>
      </c>
      <c r="P207" s="2">
        <v>7028</v>
      </c>
      <c r="Q207" s="2">
        <v>802.90000000000009</v>
      </c>
      <c r="R207" s="2">
        <v>4641</v>
      </c>
      <c r="S207" s="2">
        <v>533.4</v>
      </c>
      <c r="T207" s="2">
        <v>6623.89</v>
      </c>
      <c r="U207" s="2">
        <v>646.5900000000006</v>
      </c>
      <c r="V207" s="5">
        <v>9.7614845657159249E-2</v>
      </c>
    </row>
    <row r="208" spans="1:22" x14ac:dyDescent="0.3">
      <c r="A208">
        <f t="shared" si="3"/>
        <v>207</v>
      </c>
      <c r="B208" t="s">
        <v>292</v>
      </c>
      <c r="C208" s="1">
        <v>45918</v>
      </c>
      <c r="D208" t="s">
        <v>14</v>
      </c>
      <c r="E208" s="6" t="s">
        <v>664</v>
      </c>
      <c r="F208" s="6" t="s">
        <v>63</v>
      </c>
      <c r="G208" s="6" t="s">
        <v>82</v>
      </c>
      <c r="H208" t="s">
        <v>15</v>
      </c>
      <c r="I208" s="6" t="s">
        <v>16</v>
      </c>
      <c r="J208" s="6" t="s">
        <v>45</v>
      </c>
      <c r="K208" s="6" t="s">
        <v>48</v>
      </c>
      <c r="L208" s="6" t="s">
        <v>54</v>
      </c>
      <c r="M208" s="12">
        <v>103</v>
      </c>
      <c r="N208" s="2">
        <v>77</v>
      </c>
      <c r="O208" s="4">
        <v>0.21739999999999998</v>
      </c>
      <c r="P208" s="2">
        <v>7931</v>
      </c>
      <c r="Q208" s="2">
        <v>985.6</v>
      </c>
      <c r="R208" s="2">
        <v>4280.5</v>
      </c>
      <c r="S208" s="2">
        <v>493.5</v>
      </c>
      <c r="T208" s="2">
        <v>6206.8005999999996</v>
      </c>
      <c r="U208" s="2">
        <v>447.20059999999955</v>
      </c>
      <c r="V208" s="5">
        <v>7.2050099370036078E-2</v>
      </c>
    </row>
    <row r="209" spans="1:22" x14ac:dyDescent="0.3">
      <c r="A209">
        <f t="shared" si="3"/>
        <v>208</v>
      </c>
      <c r="B209" t="s">
        <v>293</v>
      </c>
      <c r="C209" s="1">
        <v>45953</v>
      </c>
      <c r="D209" t="s">
        <v>20</v>
      </c>
      <c r="E209" s="6" t="s">
        <v>662</v>
      </c>
      <c r="F209" s="6" t="s">
        <v>66</v>
      </c>
      <c r="G209" s="6" t="s">
        <v>39</v>
      </c>
      <c r="H209" t="s">
        <v>27</v>
      </c>
      <c r="I209" s="6" t="s">
        <v>28</v>
      </c>
      <c r="J209" s="6" t="s">
        <v>17</v>
      </c>
      <c r="K209" s="6" t="s">
        <v>48</v>
      </c>
      <c r="L209" s="6" t="s">
        <v>62</v>
      </c>
      <c r="M209" s="12">
        <v>368</v>
      </c>
      <c r="N209" s="2">
        <v>241.14999999999998</v>
      </c>
      <c r="O209" s="4">
        <v>0.18530000000000002</v>
      </c>
      <c r="P209" s="2">
        <v>88743.2</v>
      </c>
      <c r="Q209" s="2">
        <v>7128.0999999999995</v>
      </c>
      <c r="R209" s="2">
        <v>48546.400000000001</v>
      </c>
      <c r="S209" s="2">
        <v>4852.05</v>
      </c>
      <c r="T209" s="2">
        <v>72299.085039999991</v>
      </c>
      <c r="U209" s="2">
        <v>11772.535039999988</v>
      </c>
      <c r="V209" s="5">
        <v>0.16283103767477483</v>
      </c>
    </row>
    <row r="210" spans="1:22" x14ac:dyDescent="0.3">
      <c r="A210">
        <f t="shared" si="3"/>
        <v>209</v>
      </c>
      <c r="B210" t="s">
        <v>294</v>
      </c>
      <c r="C210" s="1">
        <v>46010</v>
      </c>
      <c r="D210" t="s">
        <v>50</v>
      </c>
      <c r="E210" s="6" t="s">
        <v>663</v>
      </c>
      <c r="F210" s="6" t="s">
        <v>21</v>
      </c>
      <c r="G210" s="6" t="s">
        <v>22</v>
      </c>
      <c r="H210" t="s">
        <v>15</v>
      </c>
      <c r="I210" s="6" t="s">
        <v>23</v>
      </c>
      <c r="J210" s="6" t="s">
        <v>32</v>
      </c>
      <c r="K210" s="6" t="s">
        <v>37</v>
      </c>
      <c r="L210" s="6" t="s">
        <v>60</v>
      </c>
      <c r="M210" s="12">
        <v>93</v>
      </c>
      <c r="N210" s="2">
        <v>173.25</v>
      </c>
      <c r="O210" s="4">
        <v>4.6900000000000004E-2</v>
      </c>
      <c r="P210" s="2">
        <v>16112.25</v>
      </c>
      <c r="Q210" s="2">
        <v>1747.8999999999999</v>
      </c>
      <c r="R210" s="2">
        <v>9575.2999999999993</v>
      </c>
      <c r="S210" s="2">
        <v>1431.5</v>
      </c>
      <c r="T210" s="2">
        <v>15356.585475</v>
      </c>
      <c r="U210" s="2">
        <v>2601.885475000001</v>
      </c>
      <c r="V210" s="5">
        <v>0.1694312501457946</v>
      </c>
    </row>
    <row r="211" spans="1:22" x14ac:dyDescent="0.3">
      <c r="A211">
        <f t="shared" si="3"/>
        <v>210</v>
      </c>
      <c r="B211" t="s">
        <v>295</v>
      </c>
      <c r="C211" s="1">
        <v>45747</v>
      </c>
      <c r="D211" t="s">
        <v>41</v>
      </c>
      <c r="E211" s="6" t="s">
        <v>664</v>
      </c>
      <c r="F211" s="6" t="s">
        <v>63</v>
      </c>
      <c r="G211" s="6" t="s">
        <v>64</v>
      </c>
      <c r="H211" t="s">
        <v>27</v>
      </c>
      <c r="I211" s="6" t="s">
        <v>28</v>
      </c>
      <c r="J211" s="6" t="s">
        <v>84</v>
      </c>
      <c r="K211" s="6" t="s">
        <v>33</v>
      </c>
      <c r="L211" s="6" t="s">
        <v>73</v>
      </c>
      <c r="M211" s="12">
        <v>490</v>
      </c>
      <c r="N211" s="2">
        <v>119.35000000000001</v>
      </c>
      <c r="O211" s="4">
        <v>0.21359999999999998</v>
      </c>
      <c r="P211" s="2">
        <v>58481.500000000007</v>
      </c>
      <c r="Q211" s="2">
        <v>6609.4000000000005</v>
      </c>
      <c r="R211" s="2">
        <v>25132.800000000003</v>
      </c>
      <c r="S211" s="2">
        <v>2354.4499999999998</v>
      </c>
      <c r="T211" s="2">
        <v>45989.851600000002</v>
      </c>
      <c r="U211" s="2">
        <v>11893.2016</v>
      </c>
      <c r="V211" s="5">
        <v>0.25860491361098453</v>
      </c>
    </row>
    <row r="212" spans="1:22" x14ac:dyDescent="0.3">
      <c r="A212">
        <f t="shared" si="3"/>
        <v>211</v>
      </c>
      <c r="B212" t="s">
        <v>296</v>
      </c>
      <c r="C212" s="1">
        <v>45679</v>
      </c>
      <c r="D212" t="s">
        <v>44</v>
      </c>
      <c r="E212" s="6" t="s">
        <v>663</v>
      </c>
      <c r="F212" s="6" t="s">
        <v>21</v>
      </c>
      <c r="G212" s="6" t="s">
        <v>82</v>
      </c>
      <c r="H212" t="s">
        <v>27</v>
      </c>
      <c r="I212" s="6" t="s">
        <v>28</v>
      </c>
      <c r="J212" s="6" t="s">
        <v>84</v>
      </c>
      <c r="K212" s="6" t="s">
        <v>33</v>
      </c>
      <c r="L212" s="6" t="s">
        <v>53</v>
      </c>
      <c r="M212" s="12">
        <v>455</v>
      </c>
      <c r="N212" s="2">
        <v>70</v>
      </c>
      <c r="O212" s="4">
        <v>0.15279999999999999</v>
      </c>
      <c r="P212" s="2">
        <v>31850</v>
      </c>
      <c r="Q212" s="2">
        <v>3927.7</v>
      </c>
      <c r="R212" s="2">
        <v>16493.400000000001</v>
      </c>
      <c r="S212" s="2">
        <v>1332.1000000000001</v>
      </c>
      <c r="T212" s="2">
        <v>26983.32</v>
      </c>
      <c r="U212" s="2">
        <v>5230.12</v>
      </c>
      <c r="V212" s="5">
        <v>0.19382789071174339</v>
      </c>
    </row>
    <row r="213" spans="1:22" x14ac:dyDescent="0.3">
      <c r="A213">
        <f t="shared" si="3"/>
        <v>212</v>
      </c>
      <c r="B213" t="s">
        <v>297</v>
      </c>
      <c r="C213" s="1">
        <v>45783</v>
      </c>
      <c r="D213" t="s">
        <v>30</v>
      </c>
      <c r="E213" s="6" t="s">
        <v>662</v>
      </c>
      <c r="F213" s="6" t="s">
        <v>42</v>
      </c>
      <c r="G213" s="6" t="s">
        <v>43</v>
      </c>
      <c r="H213" t="s">
        <v>27</v>
      </c>
      <c r="I213" s="6" t="s">
        <v>31</v>
      </c>
      <c r="J213" s="6" t="s">
        <v>32</v>
      </c>
      <c r="K213" s="6" t="s">
        <v>33</v>
      </c>
      <c r="L213" s="6" t="s">
        <v>34</v>
      </c>
      <c r="M213" s="12">
        <v>710</v>
      </c>
      <c r="N213" s="2">
        <v>101.5</v>
      </c>
      <c r="O213" s="4">
        <v>0.1186</v>
      </c>
      <c r="P213" s="2">
        <v>72065</v>
      </c>
      <c r="Q213" s="2">
        <v>3571.05</v>
      </c>
      <c r="R213" s="2">
        <v>39257.050000000003</v>
      </c>
      <c r="S213" s="2">
        <v>2861.95</v>
      </c>
      <c r="T213" s="2">
        <v>63518.091</v>
      </c>
      <c r="U213" s="2">
        <v>17828.041000000001</v>
      </c>
      <c r="V213" s="5">
        <v>0.28067658708445758</v>
      </c>
    </row>
    <row r="214" spans="1:22" x14ac:dyDescent="0.3">
      <c r="A214">
        <f t="shared" si="3"/>
        <v>213</v>
      </c>
      <c r="B214" t="s">
        <v>298</v>
      </c>
      <c r="C214" s="1">
        <v>45808</v>
      </c>
      <c r="D214" t="s">
        <v>30</v>
      </c>
      <c r="E214" s="6" t="s">
        <v>663</v>
      </c>
      <c r="F214" s="6" t="s">
        <v>21</v>
      </c>
      <c r="G214" s="6" t="s">
        <v>68</v>
      </c>
      <c r="H214" t="s">
        <v>27</v>
      </c>
      <c r="I214" s="6" t="s">
        <v>28</v>
      </c>
      <c r="J214" s="6" t="s">
        <v>52</v>
      </c>
      <c r="K214" s="6" t="s">
        <v>46</v>
      </c>
      <c r="L214" s="6" t="s">
        <v>83</v>
      </c>
      <c r="M214" s="12">
        <v>315</v>
      </c>
      <c r="N214" s="2">
        <v>121.45</v>
      </c>
      <c r="O214" s="4">
        <v>0.25730000000000003</v>
      </c>
      <c r="P214" s="2">
        <v>38256.75</v>
      </c>
      <c r="Q214" s="2">
        <v>3180.1</v>
      </c>
      <c r="R214" s="2">
        <v>16961.7</v>
      </c>
      <c r="S214" s="2">
        <v>1688.75</v>
      </c>
      <c r="T214" s="2">
        <v>28413.288224999997</v>
      </c>
      <c r="U214" s="2">
        <v>6582.7382249999955</v>
      </c>
      <c r="V214" s="5">
        <v>0.2316781561103527</v>
      </c>
    </row>
    <row r="215" spans="1:22" x14ac:dyDescent="0.3">
      <c r="A215">
        <f t="shared" si="3"/>
        <v>214</v>
      </c>
      <c r="B215" t="s">
        <v>299</v>
      </c>
      <c r="C215" s="1">
        <v>45840</v>
      </c>
      <c r="D215" t="s">
        <v>26</v>
      </c>
      <c r="E215" s="6" t="s">
        <v>662</v>
      </c>
      <c r="F215" s="6" t="s">
        <v>66</v>
      </c>
      <c r="G215" s="6" t="s">
        <v>65</v>
      </c>
      <c r="H215" t="s">
        <v>15</v>
      </c>
      <c r="I215" s="6" t="s">
        <v>23</v>
      </c>
      <c r="J215" s="6" t="s">
        <v>32</v>
      </c>
      <c r="K215" s="6" t="s">
        <v>37</v>
      </c>
      <c r="L215" s="6" t="s">
        <v>72</v>
      </c>
      <c r="M215" s="12">
        <v>77</v>
      </c>
      <c r="N215" s="2">
        <v>61.6</v>
      </c>
      <c r="O215" s="4">
        <v>6.4899999999999999E-2</v>
      </c>
      <c r="P215" s="2">
        <v>4743.2</v>
      </c>
      <c r="Q215" s="2">
        <v>578.19999999999993</v>
      </c>
      <c r="R215" s="2">
        <v>2344.6499999999996</v>
      </c>
      <c r="S215" s="2">
        <v>478.45</v>
      </c>
      <c r="T215" s="2">
        <v>4435.3663200000001</v>
      </c>
      <c r="U215" s="2">
        <v>1034.0663200000008</v>
      </c>
      <c r="V215" s="5">
        <v>0.23314113094496347</v>
      </c>
    </row>
    <row r="216" spans="1:22" x14ac:dyDescent="0.3">
      <c r="A216">
        <f t="shared" si="3"/>
        <v>215</v>
      </c>
      <c r="B216" t="s">
        <v>300</v>
      </c>
      <c r="C216" s="1">
        <v>45989</v>
      </c>
      <c r="D216" t="s">
        <v>67</v>
      </c>
      <c r="E216" s="6" t="s">
        <v>664</v>
      </c>
      <c r="F216" s="6" t="s">
        <v>63</v>
      </c>
      <c r="G216" s="6" t="s">
        <v>68</v>
      </c>
      <c r="H216" t="s">
        <v>15</v>
      </c>
      <c r="I216" s="6" t="s">
        <v>23</v>
      </c>
      <c r="J216" s="6" t="s">
        <v>36</v>
      </c>
      <c r="K216" s="6" t="s">
        <v>33</v>
      </c>
      <c r="L216" s="6" t="s">
        <v>70</v>
      </c>
      <c r="M216" s="12">
        <v>120</v>
      </c>
      <c r="N216" s="2">
        <v>98.350000000000009</v>
      </c>
      <c r="O216" s="4">
        <v>9.8699999999999996E-2</v>
      </c>
      <c r="P216" s="2">
        <v>11802.000000000002</v>
      </c>
      <c r="Q216" s="2">
        <v>1326.5</v>
      </c>
      <c r="R216" s="2">
        <v>5885.5999999999995</v>
      </c>
      <c r="S216" s="2">
        <v>1153.25</v>
      </c>
      <c r="T216" s="2">
        <v>10637.142600000001</v>
      </c>
      <c r="U216" s="2">
        <v>2271.7926000000016</v>
      </c>
      <c r="V216" s="5">
        <v>0.21357169734661649</v>
      </c>
    </row>
    <row r="217" spans="1:22" x14ac:dyDescent="0.3">
      <c r="A217">
        <f t="shared" si="3"/>
        <v>216</v>
      </c>
      <c r="B217" t="s">
        <v>301</v>
      </c>
      <c r="C217" s="1">
        <v>45962</v>
      </c>
      <c r="D217" t="s">
        <v>67</v>
      </c>
      <c r="E217" s="6" t="s">
        <v>662</v>
      </c>
      <c r="F217" s="6" t="s">
        <v>42</v>
      </c>
      <c r="G217" s="6" t="s">
        <v>64</v>
      </c>
      <c r="H217" t="s">
        <v>15</v>
      </c>
      <c r="I217" s="6" t="s">
        <v>16</v>
      </c>
      <c r="J217" s="6" t="s">
        <v>52</v>
      </c>
      <c r="K217" s="6" t="s">
        <v>46</v>
      </c>
      <c r="L217" s="6" t="s">
        <v>76</v>
      </c>
      <c r="M217" s="12">
        <v>122</v>
      </c>
      <c r="N217" s="2">
        <v>265.64999999999998</v>
      </c>
      <c r="O217" s="4">
        <v>0.17420000000000002</v>
      </c>
      <c r="P217" s="2">
        <v>32409.299999999996</v>
      </c>
      <c r="Q217" s="2">
        <v>4036.2</v>
      </c>
      <c r="R217" s="2">
        <v>14068.95</v>
      </c>
      <c r="S217" s="2">
        <v>2078.3000000000002</v>
      </c>
      <c r="T217" s="2">
        <v>26763.599939999996</v>
      </c>
      <c r="U217" s="2">
        <v>6580.1499399999966</v>
      </c>
      <c r="V217" s="5">
        <v>0.24586191524128714</v>
      </c>
    </row>
    <row r="218" spans="1:22" x14ac:dyDescent="0.3">
      <c r="A218">
        <f t="shared" si="3"/>
        <v>217</v>
      </c>
      <c r="B218" t="s">
        <v>302</v>
      </c>
      <c r="C218" s="1">
        <v>45989</v>
      </c>
      <c r="D218" t="s">
        <v>67</v>
      </c>
      <c r="E218" s="6" t="s">
        <v>664</v>
      </c>
      <c r="F218" s="6" t="s">
        <v>63</v>
      </c>
      <c r="G218" s="6" t="s">
        <v>69</v>
      </c>
      <c r="H218" t="s">
        <v>15</v>
      </c>
      <c r="I218" s="6" t="s">
        <v>23</v>
      </c>
      <c r="J218" s="6" t="s">
        <v>84</v>
      </c>
      <c r="K218" s="6" t="s">
        <v>46</v>
      </c>
      <c r="L218" s="6" t="s">
        <v>81</v>
      </c>
      <c r="M218" s="12">
        <v>44</v>
      </c>
      <c r="N218" s="2">
        <v>156.1</v>
      </c>
      <c r="O218" s="4">
        <v>7.5999999999999998E-2</v>
      </c>
      <c r="P218" s="2">
        <v>6868.4</v>
      </c>
      <c r="Q218" s="2">
        <v>1255.4499999999998</v>
      </c>
      <c r="R218" s="2">
        <v>3667.65</v>
      </c>
      <c r="S218" s="2">
        <v>786.1</v>
      </c>
      <c r="T218" s="2">
        <v>6346.4016000000001</v>
      </c>
      <c r="U218" s="2">
        <v>637.20159999999987</v>
      </c>
      <c r="V218" s="5">
        <v>0.10040360509174204</v>
      </c>
    </row>
    <row r="219" spans="1:22" x14ac:dyDescent="0.3">
      <c r="A219">
        <f t="shared" si="3"/>
        <v>218</v>
      </c>
      <c r="B219" t="s">
        <v>303</v>
      </c>
      <c r="C219" s="1">
        <v>45706</v>
      </c>
      <c r="D219" t="s">
        <v>55</v>
      </c>
      <c r="E219" s="6" t="s">
        <v>662</v>
      </c>
      <c r="F219" s="6" t="s">
        <v>66</v>
      </c>
      <c r="G219" s="6" t="s">
        <v>65</v>
      </c>
      <c r="H219" t="s">
        <v>15</v>
      </c>
      <c r="I219" s="6" t="s">
        <v>16</v>
      </c>
      <c r="J219" s="6" t="s">
        <v>32</v>
      </c>
      <c r="K219" s="6" t="s">
        <v>37</v>
      </c>
      <c r="L219" s="6" t="s">
        <v>77</v>
      </c>
      <c r="M219" s="12">
        <v>123</v>
      </c>
      <c r="N219" s="2">
        <v>167.3</v>
      </c>
      <c r="O219" s="4">
        <v>6.9400000000000003E-2</v>
      </c>
      <c r="P219" s="2">
        <v>20577.900000000001</v>
      </c>
      <c r="Q219" s="2">
        <v>1844.8500000000001</v>
      </c>
      <c r="R219" s="2">
        <v>10084.200000000001</v>
      </c>
      <c r="S219" s="2">
        <v>1513.05</v>
      </c>
      <c r="T219" s="2">
        <v>19149.793740000001</v>
      </c>
      <c r="U219" s="2">
        <v>5707.6937400000006</v>
      </c>
      <c r="V219" s="5">
        <v>0.29805510270733604</v>
      </c>
    </row>
    <row r="220" spans="1:22" x14ac:dyDescent="0.3">
      <c r="A220">
        <f t="shared" si="3"/>
        <v>219</v>
      </c>
      <c r="B220" t="s">
        <v>304</v>
      </c>
      <c r="C220" s="1">
        <v>45978</v>
      </c>
      <c r="D220" t="s">
        <v>67</v>
      </c>
      <c r="E220" s="6" t="s">
        <v>663</v>
      </c>
      <c r="F220" s="6" t="s">
        <v>21</v>
      </c>
      <c r="G220" s="6" t="s">
        <v>68</v>
      </c>
      <c r="H220" t="s">
        <v>27</v>
      </c>
      <c r="I220" s="6" t="s">
        <v>31</v>
      </c>
      <c r="J220" s="6" t="s">
        <v>32</v>
      </c>
      <c r="K220" s="6" t="s">
        <v>46</v>
      </c>
      <c r="L220" s="6" t="s">
        <v>89</v>
      </c>
      <c r="M220" s="12">
        <v>858</v>
      </c>
      <c r="N220" s="2">
        <v>87.15</v>
      </c>
      <c r="O220" s="4">
        <v>0.1993</v>
      </c>
      <c r="P220" s="2">
        <v>74774.700000000012</v>
      </c>
      <c r="Q220" s="2">
        <v>2498.2999999999997</v>
      </c>
      <c r="R220" s="2">
        <v>34287.4</v>
      </c>
      <c r="S220" s="2">
        <v>3669.4</v>
      </c>
      <c r="T220" s="2">
        <v>59872.10229000001</v>
      </c>
      <c r="U220" s="2">
        <v>19417.002290000008</v>
      </c>
      <c r="V220" s="5">
        <v>0.3243080090281561</v>
      </c>
    </row>
    <row r="221" spans="1:22" x14ac:dyDescent="0.3">
      <c r="A221">
        <f t="shared" si="3"/>
        <v>220</v>
      </c>
      <c r="B221" t="s">
        <v>305</v>
      </c>
      <c r="C221" s="1">
        <v>45720</v>
      </c>
      <c r="D221" t="s">
        <v>41</v>
      </c>
      <c r="E221" s="6" t="s">
        <v>664</v>
      </c>
      <c r="F221" s="6" t="s">
        <v>63</v>
      </c>
      <c r="G221" s="6" t="s">
        <v>69</v>
      </c>
      <c r="H221" t="s">
        <v>27</v>
      </c>
      <c r="I221" s="6" t="s">
        <v>28</v>
      </c>
      <c r="J221" s="6" t="s">
        <v>17</v>
      </c>
      <c r="K221" s="6" t="s">
        <v>48</v>
      </c>
      <c r="L221" s="6" t="s">
        <v>54</v>
      </c>
      <c r="M221" s="12">
        <v>154</v>
      </c>
      <c r="N221" s="2">
        <v>78.400000000000006</v>
      </c>
      <c r="O221" s="4">
        <v>0.1837</v>
      </c>
      <c r="P221" s="2">
        <v>12073.6</v>
      </c>
      <c r="Q221" s="2">
        <v>887.6</v>
      </c>
      <c r="R221" s="2">
        <v>7127.05</v>
      </c>
      <c r="S221" s="2">
        <v>712.25</v>
      </c>
      <c r="T221" s="2">
        <v>9855.6796800000011</v>
      </c>
      <c r="U221" s="2">
        <v>1128.779680000001</v>
      </c>
      <c r="V221" s="5">
        <v>0.11453088134455287</v>
      </c>
    </row>
    <row r="222" spans="1:22" x14ac:dyDescent="0.3">
      <c r="A222">
        <f t="shared" si="3"/>
        <v>221</v>
      </c>
      <c r="B222" t="s">
        <v>306</v>
      </c>
      <c r="C222" s="1">
        <v>45850</v>
      </c>
      <c r="D222" t="s">
        <v>26</v>
      </c>
      <c r="E222" s="6" t="s">
        <v>662</v>
      </c>
      <c r="F222" s="6" t="s">
        <v>66</v>
      </c>
      <c r="G222" s="6" t="s">
        <v>64</v>
      </c>
      <c r="H222" t="s">
        <v>27</v>
      </c>
      <c r="I222" s="6" t="s">
        <v>16</v>
      </c>
      <c r="J222" s="6" t="s">
        <v>52</v>
      </c>
      <c r="K222" s="6" t="s">
        <v>37</v>
      </c>
      <c r="L222" s="6" t="s">
        <v>75</v>
      </c>
      <c r="M222" s="12">
        <v>122</v>
      </c>
      <c r="N222" s="2">
        <v>125.3</v>
      </c>
      <c r="O222" s="4">
        <v>0.20489999999999997</v>
      </c>
      <c r="P222" s="2">
        <v>15286.6</v>
      </c>
      <c r="Q222" s="2">
        <v>1834</v>
      </c>
      <c r="R222" s="2">
        <v>6035.4</v>
      </c>
      <c r="S222" s="2">
        <v>896</v>
      </c>
      <c r="T222" s="2">
        <v>12154.375660000002</v>
      </c>
      <c r="U222" s="2">
        <v>3388.9756600000019</v>
      </c>
      <c r="V222" s="5">
        <v>0.27882762182125953</v>
      </c>
    </row>
    <row r="223" spans="1:22" x14ac:dyDescent="0.3">
      <c r="A223">
        <f t="shared" si="3"/>
        <v>222</v>
      </c>
      <c r="B223" t="s">
        <v>307</v>
      </c>
      <c r="C223" s="1">
        <v>45993</v>
      </c>
      <c r="D223" t="s">
        <v>50</v>
      </c>
      <c r="E223" s="6" t="s">
        <v>663</v>
      </c>
      <c r="F223" s="6" t="s">
        <v>21</v>
      </c>
      <c r="G223" s="6" t="s">
        <v>82</v>
      </c>
      <c r="H223" t="s">
        <v>27</v>
      </c>
      <c r="I223" s="6" t="s">
        <v>28</v>
      </c>
      <c r="J223" s="6" t="s">
        <v>52</v>
      </c>
      <c r="K223" s="6" t="s">
        <v>33</v>
      </c>
      <c r="L223" s="6" t="s">
        <v>79</v>
      </c>
      <c r="M223" s="12">
        <v>379</v>
      </c>
      <c r="N223" s="2">
        <v>72.100000000000009</v>
      </c>
      <c r="O223" s="4">
        <v>0.27429999999999999</v>
      </c>
      <c r="P223" s="2">
        <v>27325.9</v>
      </c>
      <c r="Q223" s="2">
        <v>6504.4000000000005</v>
      </c>
      <c r="R223" s="2">
        <v>11299.05</v>
      </c>
      <c r="S223" s="2">
        <v>989.44999999999993</v>
      </c>
      <c r="T223" s="2">
        <v>19830.405630000001</v>
      </c>
      <c r="U223" s="2">
        <v>1037.5056300000006</v>
      </c>
      <c r="V223" s="5">
        <v>5.2318931309727347E-2</v>
      </c>
    </row>
    <row r="224" spans="1:22" x14ac:dyDescent="0.3">
      <c r="A224">
        <f t="shared" si="3"/>
        <v>223</v>
      </c>
      <c r="B224" t="s">
        <v>308</v>
      </c>
      <c r="C224" s="1">
        <v>45849</v>
      </c>
      <c r="D224" t="s">
        <v>26</v>
      </c>
      <c r="E224" s="6" t="s">
        <v>663</v>
      </c>
      <c r="F224" s="6" t="s">
        <v>21</v>
      </c>
      <c r="G224" s="6" t="s">
        <v>43</v>
      </c>
      <c r="H224" t="s">
        <v>15</v>
      </c>
      <c r="I224" s="6" t="s">
        <v>16</v>
      </c>
      <c r="J224" s="6" t="s">
        <v>32</v>
      </c>
      <c r="K224" s="6" t="s">
        <v>48</v>
      </c>
      <c r="L224" s="6" t="s">
        <v>62</v>
      </c>
      <c r="M224" s="12">
        <v>41</v>
      </c>
      <c r="N224" s="2">
        <v>266.7</v>
      </c>
      <c r="O224" s="4">
        <v>8.77E-2</v>
      </c>
      <c r="P224" s="2">
        <v>10934.699999999999</v>
      </c>
      <c r="Q224" s="2">
        <v>1109.1500000000001</v>
      </c>
      <c r="R224" s="2">
        <v>6356</v>
      </c>
      <c r="S224" s="2">
        <v>747.6</v>
      </c>
      <c r="T224" s="2">
        <v>9975.7268099999983</v>
      </c>
      <c r="U224" s="2">
        <v>1762.9768099999978</v>
      </c>
      <c r="V224" s="5">
        <v>0.1767266529625422</v>
      </c>
    </row>
    <row r="225" spans="1:22" x14ac:dyDescent="0.3">
      <c r="A225">
        <f t="shared" si="3"/>
        <v>224</v>
      </c>
      <c r="B225" t="s">
        <v>309</v>
      </c>
      <c r="C225" s="1">
        <v>45814</v>
      </c>
      <c r="D225" t="s">
        <v>58</v>
      </c>
      <c r="E225" s="6" t="s">
        <v>664</v>
      </c>
      <c r="F225" s="6" t="s">
        <v>63</v>
      </c>
      <c r="G225" s="6" t="s">
        <v>64</v>
      </c>
      <c r="H225" t="s">
        <v>15</v>
      </c>
      <c r="I225" s="6" t="s">
        <v>23</v>
      </c>
      <c r="J225" s="6" t="s">
        <v>32</v>
      </c>
      <c r="K225" s="6" t="s">
        <v>46</v>
      </c>
      <c r="L225" s="6" t="s">
        <v>89</v>
      </c>
      <c r="M225" s="12">
        <v>122</v>
      </c>
      <c r="N225" s="2">
        <v>95.9</v>
      </c>
      <c r="O225" s="4">
        <v>7.6600000000000001E-2</v>
      </c>
      <c r="P225" s="2">
        <v>11699.800000000001</v>
      </c>
      <c r="Q225" s="2">
        <v>1396.85</v>
      </c>
      <c r="R225" s="2">
        <v>6438.25</v>
      </c>
      <c r="S225" s="2">
        <v>1095.5</v>
      </c>
      <c r="T225" s="2">
        <v>10803.59532</v>
      </c>
      <c r="U225" s="2">
        <v>1872.9953200000004</v>
      </c>
      <c r="V225" s="5">
        <v>0.17336777845914358</v>
      </c>
    </row>
    <row r="226" spans="1:22" x14ac:dyDescent="0.3">
      <c r="A226">
        <f t="shared" si="3"/>
        <v>225</v>
      </c>
      <c r="B226" t="s">
        <v>310</v>
      </c>
      <c r="C226" s="1">
        <v>45777</v>
      </c>
      <c r="D226" t="s">
        <v>61</v>
      </c>
      <c r="E226" s="6" t="s">
        <v>662</v>
      </c>
      <c r="F226" s="6" t="s">
        <v>42</v>
      </c>
      <c r="G226" s="6" t="s">
        <v>39</v>
      </c>
      <c r="H226" t="s">
        <v>27</v>
      </c>
      <c r="I226" s="6" t="s">
        <v>16</v>
      </c>
      <c r="J226" s="6" t="s">
        <v>36</v>
      </c>
      <c r="K226" s="6" t="s">
        <v>48</v>
      </c>
      <c r="L226" s="6" t="s">
        <v>57</v>
      </c>
      <c r="M226" s="12">
        <v>123</v>
      </c>
      <c r="N226" s="2">
        <v>88.55</v>
      </c>
      <c r="O226" s="4">
        <v>0.121</v>
      </c>
      <c r="P226" s="2">
        <v>10891.65</v>
      </c>
      <c r="Q226" s="2">
        <v>1107.4000000000001</v>
      </c>
      <c r="R226" s="2">
        <v>6791.75</v>
      </c>
      <c r="S226" s="2">
        <v>829.5</v>
      </c>
      <c r="T226" s="2">
        <v>9573.7603500000005</v>
      </c>
      <c r="U226" s="2">
        <v>845.11035000000038</v>
      </c>
      <c r="V226" s="5">
        <v>8.8273606096689092E-2</v>
      </c>
    </row>
    <row r="227" spans="1:22" x14ac:dyDescent="0.3">
      <c r="A227">
        <f t="shared" si="3"/>
        <v>226</v>
      </c>
      <c r="B227" t="s">
        <v>311</v>
      </c>
      <c r="C227" s="1">
        <v>45723</v>
      </c>
      <c r="D227" t="s">
        <v>41</v>
      </c>
      <c r="E227" s="6" t="s">
        <v>662</v>
      </c>
      <c r="F227" s="6" t="s">
        <v>66</v>
      </c>
      <c r="G227" s="6" t="s">
        <v>65</v>
      </c>
      <c r="H227" t="s">
        <v>15</v>
      </c>
      <c r="I227" s="6" t="s">
        <v>16</v>
      </c>
      <c r="J227" s="6" t="s">
        <v>52</v>
      </c>
      <c r="K227" s="6" t="s">
        <v>48</v>
      </c>
      <c r="L227" s="6" t="s">
        <v>74</v>
      </c>
      <c r="M227" s="12">
        <v>37</v>
      </c>
      <c r="N227" s="2">
        <v>156.1</v>
      </c>
      <c r="O227" s="4">
        <v>9.5199999999999993E-2</v>
      </c>
      <c r="P227" s="2">
        <v>5775.7</v>
      </c>
      <c r="Q227" s="2">
        <v>852.6</v>
      </c>
      <c r="R227" s="2">
        <v>3712.7999999999997</v>
      </c>
      <c r="S227" s="2">
        <v>388.84999999999997</v>
      </c>
      <c r="T227" s="2">
        <v>5225.8533600000001</v>
      </c>
      <c r="U227" s="2">
        <v>271.60335999999995</v>
      </c>
      <c r="V227" s="5">
        <v>5.1973015943945267E-2</v>
      </c>
    </row>
    <row r="228" spans="1:22" x14ac:dyDescent="0.3">
      <c r="A228">
        <f t="shared" si="3"/>
        <v>227</v>
      </c>
      <c r="B228" t="s">
        <v>312</v>
      </c>
      <c r="C228" s="1">
        <v>45998</v>
      </c>
      <c r="D228" t="s">
        <v>50</v>
      </c>
      <c r="E228" s="6" t="s">
        <v>664</v>
      </c>
      <c r="F228" s="6" t="s">
        <v>63</v>
      </c>
      <c r="G228" s="6" t="s">
        <v>64</v>
      </c>
      <c r="H228" t="s">
        <v>27</v>
      </c>
      <c r="I228" s="6" t="s">
        <v>31</v>
      </c>
      <c r="J228" s="6" t="s">
        <v>45</v>
      </c>
      <c r="K228" s="6" t="s">
        <v>33</v>
      </c>
      <c r="L228" s="6" t="s">
        <v>34</v>
      </c>
      <c r="M228" s="12">
        <v>479</v>
      </c>
      <c r="N228" s="2">
        <v>93.800000000000011</v>
      </c>
      <c r="O228" s="4">
        <v>0.2382</v>
      </c>
      <c r="P228" s="2">
        <v>44930.200000000004</v>
      </c>
      <c r="Q228" s="2">
        <v>4119.1499999999996</v>
      </c>
      <c r="R228" s="2">
        <v>19148.150000000001</v>
      </c>
      <c r="S228" s="2">
        <v>1521.1000000000001</v>
      </c>
      <c r="T228" s="2">
        <v>34227.826360000006</v>
      </c>
      <c r="U228" s="2">
        <v>9439.4263600000068</v>
      </c>
      <c r="V228" s="5">
        <v>0.27578223229013732</v>
      </c>
    </row>
    <row r="229" spans="1:22" x14ac:dyDescent="0.3">
      <c r="A229">
        <f t="shared" si="3"/>
        <v>228</v>
      </c>
      <c r="B229" t="s">
        <v>313</v>
      </c>
      <c r="C229" s="1">
        <v>45995</v>
      </c>
      <c r="D229" t="s">
        <v>50</v>
      </c>
      <c r="E229" s="6" t="s">
        <v>664</v>
      </c>
      <c r="F229" s="6" t="s">
        <v>63</v>
      </c>
      <c r="G229" s="6" t="s">
        <v>68</v>
      </c>
      <c r="H229" t="s">
        <v>27</v>
      </c>
      <c r="I229" s="6" t="s">
        <v>16</v>
      </c>
      <c r="J229" s="6" t="s">
        <v>24</v>
      </c>
      <c r="K229" s="6" t="s">
        <v>18</v>
      </c>
      <c r="L229" s="6" t="s">
        <v>59</v>
      </c>
      <c r="M229" s="12">
        <v>101</v>
      </c>
      <c r="N229" s="2">
        <v>215.25</v>
      </c>
      <c r="O229" s="4">
        <v>0.1017</v>
      </c>
      <c r="P229" s="2">
        <v>21740.25</v>
      </c>
      <c r="Q229" s="2">
        <v>2140.6</v>
      </c>
      <c r="R229" s="2">
        <v>10901.45</v>
      </c>
      <c r="S229" s="2">
        <v>1401.75</v>
      </c>
      <c r="T229" s="2">
        <v>19529.266575000001</v>
      </c>
      <c r="U229" s="2">
        <v>5085.4665750000004</v>
      </c>
      <c r="V229" s="5">
        <v>0.26040233285104819</v>
      </c>
    </row>
    <row r="230" spans="1:22" x14ac:dyDescent="0.3">
      <c r="A230">
        <f t="shared" si="3"/>
        <v>229</v>
      </c>
      <c r="B230" t="s">
        <v>314</v>
      </c>
      <c r="C230" s="1">
        <v>45693</v>
      </c>
      <c r="D230" t="s">
        <v>55</v>
      </c>
      <c r="E230" s="6" t="s">
        <v>662</v>
      </c>
      <c r="F230" s="6" t="s">
        <v>42</v>
      </c>
      <c r="G230" s="6" t="s">
        <v>82</v>
      </c>
      <c r="H230" t="s">
        <v>27</v>
      </c>
      <c r="I230" s="6" t="s">
        <v>28</v>
      </c>
      <c r="J230" s="6" t="s">
        <v>17</v>
      </c>
      <c r="K230" s="6" t="s">
        <v>33</v>
      </c>
      <c r="L230" s="6" t="s">
        <v>73</v>
      </c>
      <c r="M230" s="12">
        <v>188</v>
      </c>
      <c r="N230" s="2">
        <v>143.5</v>
      </c>
      <c r="O230" s="4">
        <v>0.15539999999999998</v>
      </c>
      <c r="P230" s="2">
        <v>26978</v>
      </c>
      <c r="Q230" s="2">
        <v>2723.35</v>
      </c>
      <c r="R230" s="2">
        <v>12372.85</v>
      </c>
      <c r="S230" s="2">
        <v>1256.5</v>
      </c>
      <c r="T230" s="2">
        <v>22785.6188</v>
      </c>
      <c r="U230" s="2">
        <v>6432.9187999999995</v>
      </c>
      <c r="V230" s="5">
        <v>0.28232363827661328</v>
      </c>
    </row>
    <row r="231" spans="1:22" x14ac:dyDescent="0.3">
      <c r="A231">
        <f t="shared" si="3"/>
        <v>230</v>
      </c>
      <c r="B231" t="s">
        <v>315</v>
      </c>
      <c r="C231" s="1">
        <v>45667</v>
      </c>
      <c r="D231" t="s">
        <v>44</v>
      </c>
      <c r="E231" s="6" t="s">
        <v>662</v>
      </c>
      <c r="F231" s="6" t="s">
        <v>66</v>
      </c>
      <c r="G231" s="6" t="s">
        <v>68</v>
      </c>
      <c r="H231" t="s">
        <v>15</v>
      </c>
      <c r="I231" s="6" t="s">
        <v>23</v>
      </c>
      <c r="J231" s="6" t="s">
        <v>84</v>
      </c>
      <c r="K231" s="6" t="s">
        <v>18</v>
      </c>
      <c r="L231" s="6" t="s">
        <v>59</v>
      </c>
      <c r="M231" s="12">
        <v>12</v>
      </c>
      <c r="N231" s="2">
        <v>206.85</v>
      </c>
      <c r="O231" s="4">
        <v>9.3000000000000013E-2</v>
      </c>
      <c r="P231" s="2">
        <v>2482.1999999999998</v>
      </c>
      <c r="Q231" s="2">
        <v>364.7</v>
      </c>
      <c r="R231" s="2">
        <v>1351.35</v>
      </c>
      <c r="S231" s="2">
        <v>220.85</v>
      </c>
      <c r="T231" s="2">
        <v>2251.3553999999999</v>
      </c>
      <c r="U231" s="2">
        <v>314.45540000000011</v>
      </c>
      <c r="V231" s="5">
        <v>0.13967381604876783</v>
      </c>
    </row>
    <row r="232" spans="1:22" x14ac:dyDescent="0.3">
      <c r="A232">
        <f t="shared" si="3"/>
        <v>231</v>
      </c>
      <c r="B232" t="s">
        <v>316</v>
      </c>
      <c r="C232" s="1">
        <v>45976</v>
      </c>
      <c r="D232" t="s">
        <v>67</v>
      </c>
      <c r="E232" s="6" t="s">
        <v>664</v>
      </c>
      <c r="F232" s="6" t="s">
        <v>63</v>
      </c>
      <c r="G232" s="6" t="s">
        <v>43</v>
      </c>
      <c r="H232" t="s">
        <v>15</v>
      </c>
      <c r="I232" s="6" t="s">
        <v>23</v>
      </c>
      <c r="J232" s="6" t="s">
        <v>17</v>
      </c>
      <c r="K232" s="6" t="s">
        <v>37</v>
      </c>
      <c r="L232" s="6" t="s">
        <v>90</v>
      </c>
      <c r="M232" s="12">
        <v>8</v>
      </c>
      <c r="N232" s="2">
        <v>153.64999999999998</v>
      </c>
      <c r="O232" s="4">
        <v>8.9900000000000008E-2</v>
      </c>
      <c r="P232" s="2">
        <v>1229.1999999999998</v>
      </c>
      <c r="Q232" s="2">
        <v>174.65</v>
      </c>
      <c r="R232" s="2">
        <v>603.05000000000007</v>
      </c>
      <c r="S232" s="2">
        <v>120.75</v>
      </c>
      <c r="T232" s="2">
        <v>1118.6949199999999</v>
      </c>
      <c r="U232" s="2">
        <v>220.24491999999984</v>
      </c>
      <c r="V232" s="5">
        <v>0.19687666052868091</v>
      </c>
    </row>
    <row r="233" spans="1:22" x14ac:dyDescent="0.3">
      <c r="A233">
        <f t="shared" si="3"/>
        <v>232</v>
      </c>
      <c r="B233" t="s">
        <v>317</v>
      </c>
      <c r="C233" s="1">
        <v>45714</v>
      </c>
      <c r="D233" t="s">
        <v>55</v>
      </c>
      <c r="E233" s="6" t="s">
        <v>662</v>
      </c>
      <c r="F233" s="6" t="s">
        <v>66</v>
      </c>
      <c r="G233" s="6" t="s">
        <v>64</v>
      </c>
      <c r="H233" t="s">
        <v>15</v>
      </c>
      <c r="I233" s="6" t="s">
        <v>16</v>
      </c>
      <c r="J233" s="6" t="s">
        <v>45</v>
      </c>
      <c r="K233" s="6" t="s">
        <v>37</v>
      </c>
      <c r="L233" s="6" t="s">
        <v>75</v>
      </c>
      <c r="M233" s="12">
        <v>132</v>
      </c>
      <c r="N233" s="2">
        <v>136.15</v>
      </c>
      <c r="O233" s="4">
        <v>0.1246</v>
      </c>
      <c r="P233" s="2">
        <v>17971.8</v>
      </c>
      <c r="Q233" s="2">
        <v>2624.6499999999996</v>
      </c>
      <c r="R233" s="2">
        <v>8214.15</v>
      </c>
      <c r="S233" s="2">
        <v>1119.3</v>
      </c>
      <c r="T233" s="2">
        <v>15732.513719999999</v>
      </c>
      <c r="U233" s="2">
        <v>3774.4137200000005</v>
      </c>
      <c r="V233" s="5">
        <v>0.23991167509371164</v>
      </c>
    </row>
    <row r="234" spans="1:22" x14ac:dyDescent="0.3">
      <c r="A234">
        <f t="shared" si="3"/>
        <v>233</v>
      </c>
      <c r="B234" t="s">
        <v>318</v>
      </c>
      <c r="C234" s="1">
        <v>45939</v>
      </c>
      <c r="D234" t="s">
        <v>20</v>
      </c>
      <c r="E234" s="6" t="s">
        <v>662</v>
      </c>
      <c r="F234" s="6" t="s">
        <v>42</v>
      </c>
      <c r="G234" s="6" t="s">
        <v>22</v>
      </c>
      <c r="H234" t="s">
        <v>27</v>
      </c>
      <c r="I234" s="6" t="s">
        <v>31</v>
      </c>
      <c r="J234" s="6" t="s">
        <v>17</v>
      </c>
      <c r="K234" s="6" t="s">
        <v>33</v>
      </c>
      <c r="L234" s="6" t="s">
        <v>70</v>
      </c>
      <c r="M234" s="12">
        <v>299</v>
      </c>
      <c r="N234" s="2">
        <v>92.05</v>
      </c>
      <c r="O234" s="4">
        <v>0.19140000000000001</v>
      </c>
      <c r="P234" s="2">
        <v>27522.95</v>
      </c>
      <c r="Q234" s="2">
        <v>4630.8500000000004</v>
      </c>
      <c r="R234" s="2">
        <v>12828.199999999999</v>
      </c>
      <c r="S234" s="2">
        <v>1054.9000000000001</v>
      </c>
      <c r="T234" s="2">
        <v>22255.057369999999</v>
      </c>
      <c r="U234" s="2">
        <v>3741.1073699999979</v>
      </c>
      <c r="V234" s="5">
        <v>0.1681014480350449</v>
      </c>
    </row>
    <row r="235" spans="1:22" x14ac:dyDescent="0.3">
      <c r="A235">
        <f t="shared" si="3"/>
        <v>234</v>
      </c>
      <c r="B235" t="s">
        <v>319</v>
      </c>
      <c r="C235" s="1">
        <v>45967</v>
      </c>
      <c r="D235" t="s">
        <v>67</v>
      </c>
      <c r="E235" s="6" t="s">
        <v>662</v>
      </c>
      <c r="F235" s="6" t="s">
        <v>42</v>
      </c>
      <c r="G235" s="6" t="s">
        <v>65</v>
      </c>
      <c r="H235" t="s">
        <v>27</v>
      </c>
      <c r="I235" s="6" t="s">
        <v>16</v>
      </c>
      <c r="J235" s="6" t="s">
        <v>52</v>
      </c>
      <c r="K235" s="6" t="s">
        <v>48</v>
      </c>
      <c r="L235" s="6" t="s">
        <v>56</v>
      </c>
      <c r="M235" s="12">
        <v>229</v>
      </c>
      <c r="N235" s="2">
        <v>123.55</v>
      </c>
      <c r="O235" s="4">
        <v>0.20480000000000001</v>
      </c>
      <c r="P235" s="2">
        <v>28292.95</v>
      </c>
      <c r="Q235" s="2">
        <v>3247.65</v>
      </c>
      <c r="R235" s="2">
        <v>12604.9</v>
      </c>
      <c r="S235" s="2">
        <v>1716.05</v>
      </c>
      <c r="T235" s="2">
        <v>22498.55384</v>
      </c>
      <c r="U235" s="2">
        <v>4929.9538400000019</v>
      </c>
      <c r="V235" s="5">
        <v>0.21912314342778227</v>
      </c>
    </row>
    <row r="236" spans="1:22" x14ac:dyDescent="0.3">
      <c r="A236">
        <f t="shared" si="3"/>
        <v>235</v>
      </c>
      <c r="B236" t="s">
        <v>320</v>
      </c>
      <c r="C236" s="1">
        <v>45878</v>
      </c>
      <c r="D236" t="s">
        <v>35</v>
      </c>
      <c r="E236" s="6" t="s">
        <v>662</v>
      </c>
      <c r="F236" s="6" t="s">
        <v>42</v>
      </c>
      <c r="G236" s="6" t="s">
        <v>43</v>
      </c>
      <c r="H236" t="s">
        <v>15</v>
      </c>
      <c r="I236" s="6" t="s">
        <v>23</v>
      </c>
      <c r="J236" s="6" t="s">
        <v>24</v>
      </c>
      <c r="K236" s="6" t="s">
        <v>46</v>
      </c>
      <c r="L236" s="6" t="s">
        <v>47</v>
      </c>
      <c r="M236" s="12">
        <v>38</v>
      </c>
      <c r="N236" s="2">
        <v>158.19999999999999</v>
      </c>
      <c r="O236" s="4">
        <v>9.6699999999999994E-2</v>
      </c>
      <c r="P236" s="2">
        <v>6011.5999999999995</v>
      </c>
      <c r="Q236" s="2">
        <v>845.95</v>
      </c>
      <c r="R236" s="2">
        <v>3329.9</v>
      </c>
      <c r="S236" s="2">
        <v>604.44999999999993</v>
      </c>
      <c r="T236" s="2">
        <v>5430.2782799999995</v>
      </c>
      <c r="U236" s="2">
        <v>649.97827999999959</v>
      </c>
      <c r="V236" s="5">
        <v>0.11969520648580824</v>
      </c>
    </row>
    <row r="237" spans="1:22" x14ac:dyDescent="0.3">
      <c r="A237">
        <f t="shared" si="3"/>
        <v>236</v>
      </c>
      <c r="B237" t="s">
        <v>321</v>
      </c>
      <c r="C237" s="1">
        <v>45904</v>
      </c>
      <c r="D237" t="s">
        <v>14</v>
      </c>
      <c r="E237" s="6" t="s">
        <v>664</v>
      </c>
      <c r="F237" s="6" t="s">
        <v>63</v>
      </c>
      <c r="G237" s="6" t="s">
        <v>65</v>
      </c>
      <c r="H237" t="s">
        <v>27</v>
      </c>
      <c r="I237" s="6" t="s">
        <v>16</v>
      </c>
      <c r="J237" s="6" t="s">
        <v>17</v>
      </c>
      <c r="K237" s="6" t="s">
        <v>18</v>
      </c>
      <c r="L237" s="6" t="s">
        <v>25</v>
      </c>
      <c r="M237" s="12">
        <v>178</v>
      </c>
      <c r="N237" s="2">
        <v>107.10000000000001</v>
      </c>
      <c r="O237" s="4">
        <v>0.16750000000000001</v>
      </c>
      <c r="P237" s="2">
        <v>19063.800000000003</v>
      </c>
      <c r="Q237" s="2">
        <v>2077.25</v>
      </c>
      <c r="R237" s="2">
        <v>7618.0999999999995</v>
      </c>
      <c r="S237" s="2">
        <v>1088.5</v>
      </c>
      <c r="T237" s="2">
        <v>15870.613500000003</v>
      </c>
      <c r="U237" s="2">
        <v>5086.7635000000037</v>
      </c>
      <c r="V237" s="5">
        <v>0.32051461022600058</v>
      </c>
    </row>
    <row r="238" spans="1:22" x14ac:dyDescent="0.3">
      <c r="A238">
        <f t="shared" si="3"/>
        <v>237</v>
      </c>
      <c r="B238" t="s">
        <v>322</v>
      </c>
      <c r="C238" s="1">
        <v>45829</v>
      </c>
      <c r="D238" t="s">
        <v>58</v>
      </c>
      <c r="E238" s="6" t="s">
        <v>664</v>
      </c>
      <c r="F238" s="6" t="s">
        <v>63</v>
      </c>
      <c r="G238" s="6" t="s">
        <v>43</v>
      </c>
      <c r="H238" t="s">
        <v>27</v>
      </c>
      <c r="I238" s="6" t="s">
        <v>16</v>
      </c>
      <c r="J238" s="6" t="s">
        <v>24</v>
      </c>
      <c r="K238" s="6" t="s">
        <v>37</v>
      </c>
      <c r="L238" s="6" t="s">
        <v>60</v>
      </c>
      <c r="M238" s="12">
        <v>90</v>
      </c>
      <c r="N238" s="2">
        <v>173.95</v>
      </c>
      <c r="O238" s="4">
        <v>0.14029999999999998</v>
      </c>
      <c r="P238" s="2">
        <v>15655.499999999998</v>
      </c>
      <c r="Q238" s="2">
        <v>1533.7</v>
      </c>
      <c r="R238" s="2">
        <v>7610.05</v>
      </c>
      <c r="S238" s="2">
        <v>881.3</v>
      </c>
      <c r="T238" s="2">
        <v>13459.033349999998</v>
      </c>
      <c r="U238" s="2">
        <v>3433.9833499999986</v>
      </c>
      <c r="V238" s="5">
        <v>0.25514338665339581</v>
      </c>
    </row>
    <row r="239" spans="1:22" x14ac:dyDescent="0.3">
      <c r="A239">
        <f t="shared" si="3"/>
        <v>238</v>
      </c>
      <c r="B239" t="s">
        <v>323</v>
      </c>
      <c r="C239" s="1">
        <v>45787</v>
      </c>
      <c r="D239" t="s">
        <v>30</v>
      </c>
      <c r="E239" s="6" t="s">
        <v>662</v>
      </c>
      <c r="F239" s="6" t="s">
        <v>66</v>
      </c>
      <c r="G239" s="6" t="s">
        <v>43</v>
      </c>
      <c r="H239" t="s">
        <v>15</v>
      </c>
      <c r="I239" s="6" t="s">
        <v>28</v>
      </c>
      <c r="J239" s="6" t="s">
        <v>52</v>
      </c>
      <c r="K239" s="6" t="s">
        <v>33</v>
      </c>
      <c r="L239" s="6" t="s">
        <v>34</v>
      </c>
      <c r="M239" s="12">
        <v>376</v>
      </c>
      <c r="N239" s="2">
        <v>93.800000000000011</v>
      </c>
      <c r="O239" s="4">
        <v>0.14380000000000001</v>
      </c>
      <c r="P239" s="2">
        <v>35268.800000000003</v>
      </c>
      <c r="Q239" s="2">
        <v>3910.55</v>
      </c>
      <c r="R239" s="2">
        <v>16061.5</v>
      </c>
      <c r="S239" s="2">
        <v>1811.25</v>
      </c>
      <c r="T239" s="2">
        <v>30197.146560000001</v>
      </c>
      <c r="U239" s="2">
        <v>8413.8465600000018</v>
      </c>
      <c r="V239" s="5">
        <v>0.27863051706829883</v>
      </c>
    </row>
    <row r="240" spans="1:22" x14ac:dyDescent="0.3">
      <c r="A240">
        <f t="shared" si="3"/>
        <v>239</v>
      </c>
      <c r="B240" t="s">
        <v>324</v>
      </c>
      <c r="C240" s="1">
        <v>45745</v>
      </c>
      <c r="D240" t="s">
        <v>41</v>
      </c>
      <c r="E240" s="6" t="s">
        <v>662</v>
      </c>
      <c r="F240" s="6" t="s">
        <v>42</v>
      </c>
      <c r="G240" s="6" t="s">
        <v>39</v>
      </c>
      <c r="H240" t="s">
        <v>27</v>
      </c>
      <c r="I240" s="6" t="s">
        <v>31</v>
      </c>
      <c r="J240" s="6" t="s">
        <v>24</v>
      </c>
      <c r="K240" s="6" t="s">
        <v>33</v>
      </c>
      <c r="L240" s="6" t="s">
        <v>34</v>
      </c>
      <c r="M240" s="12">
        <v>715</v>
      </c>
      <c r="N240" s="2">
        <v>101.15</v>
      </c>
      <c r="O240" s="4">
        <v>0.14480000000000001</v>
      </c>
      <c r="P240" s="2">
        <v>72322.25</v>
      </c>
      <c r="Q240" s="2">
        <v>5623.0999999999995</v>
      </c>
      <c r="R240" s="2">
        <v>38832.5</v>
      </c>
      <c r="S240" s="2">
        <v>2463.65</v>
      </c>
      <c r="T240" s="2">
        <v>61849.9882</v>
      </c>
      <c r="U240" s="2">
        <v>14930.7382</v>
      </c>
      <c r="V240" s="5">
        <v>0.2414024421754053</v>
      </c>
    </row>
    <row r="241" spans="1:22" x14ac:dyDescent="0.3">
      <c r="A241">
        <f t="shared" si="3"/>
        <v>240</v>
      </c>
      <c r="B241" t="s">
        <v>325</v>
      </c>
      <c r="C241" s="1">
        <v>45921</v>
      </c>
      <c r="D241" t="s">
        <v>14</v>
      </c>
      <c r="E241" s="6" t="s">
        <v>662</v>
      </c>
      <c r="F241" s="6" t="s">
        <v>42</v>
      </c>
      <c r="G241" s="6" t="s">
        <v>82</v>
      </c>
      <c r="H241" t="s">
        <v>15</v>
      </c>
      <c r="I241" s="6" t="s">
        <v>16</v>
      </c>
      <c r="J241" s="6" t="s">
        <v>24</v>
      </c>
      <c r="K241" s="6" t="s">
        <v>18</v>
      </c>
      <c r="L241" s="6" t="s">
        <v>29</v>
      </c>
      <c r="M241" s="12">
        <v>172</v>
      </c>
      <c r="N241" s="2">
        <v>174.3</v>
      </c>
      <c r="O241" s="4">
        <v>8.6699999999999999E-2</v>
      </c>
      <c r="P241" s="2">
        <v>29979.600000000002</v>
      </c>
      <c r="Q241" s="2">
        <v>3946.6000000000004</v>
      </c>
      <c r="R241" s="2">
        <v>16277.8</v>
      </c>
      <c r="S241" s="2">
        <v>2025.1</v>
      </c>
      <c r="T241" s="2">
        <v>27380.368680000003</v>
      </c>
      <c r="U241" s="2">
        <v>5130.868680000005</v>
      </c>
      <c r="V241" s="5">
        <v>0.18739224222893131</v>
      </c>
    </row>
    <row r="242" spans="1:22" x14ac:dyDescent="0.3">
      <c r="A242">
        <f t="shared" si="3"/>
        <v>241</v>
      </c>
      <c r="B242" t="s">
        <v>326</v>
      </c>
      <c r="C242" s="1">
        <v>45896</v>
      </c>
      <c r="D242" t="s">
        <v>35</v>
      </c>
      <c r="E242" s="6" t="s">
        <v>663</v>
      </c>
      <c r="F242" s="6" t="s">
        <v>21</v>
      </c>
      <c r="G242" s="6" t="s">
        <v>39</v>
      </c>
      <c r="H242" t="s">
        <v>15</v>
      </c>
      <c r="I242" s="6" t="s">
        <v>23</v>
      </c>
      <c r="J242" s="6" t="s">
        <v>17</v>
      </c>
      <c r="K242" s="6" t="s">
        <v>46</v>
      </c>
      <c r="L242" s="6" t="s">
        <v>51</v>
      </c>
      <c r="M242" s="12">
        <v>9</v>
      </c>
      <c r="N242" s="2">
        <v>142.1</v>
      </c>
      <c r="O242" s="4">
        <v>5.7000000000000002E-2</v>
      </c>
      <c r="P242" s="2">
        <v>1278.8999999999999</v>
      </c>
      <c r="Q242" s="2">
        <v>169.4</v>
      </c>
      <c r="R242" s="2">
        <v>625.79999999999995</v>
      </c>
      <c r="S242" s="2">
        <v>138.25</v>
      </c>
      <c r="T242" s="2">
        <v>1206.0026999999998</v>
      </c>
      <c r="U242" s="2">
        <v>272.55269999999985</v>
      </c>
      <c r="V242" s="5">
        <v>0.22599675771870154</v>
      </c>
    </row>
    <row r="243" spans="1:22" x14ac:dyDescent="0.3">
      <c r="A243">
        <f t="shared" si="3"/>
        <v>242</v>
      </c>
      <c r="B243" t="s">
        <v>327</v>
      </c>
      <c r="C243" s="1">
        <v>45829</v>
      </c>
      <c r="D243" t="s">
        <v>58</v>
      </c>
      <c r="E243" s="6" t="s">
        <v>663</v>
      </c>
      <c r="F243" s="6" t="s">
        <v>21</v>
      </c>
      <c r="G243" s="6" t="s">
        <v>68</v>
      </c>
      <c r="H243" t="s">
        <v>15</v>
      </c>
      <c r="I243" s="6" t="s">
        <v>16</v>
      </c>
      <c r="J243" s="6" t="s">
        <v>17</v>
      </c>
      <c r="K243" s="6" t="s">
        <v>46</v>
      </c>
      <c r="L243" s="6" t="s">
        <v>47</v>
      </c>
      <c r="M243" s="12">
        <v>141</v>
      </c>
      <c r="N243" s="2">
        <v>169.4</v>
      </c>
      <c r="O243" s="4">
        <v>0.1082</v>
      </c>
      <c r="P243" s="2">
        <v>23885.4</v>
      </c>
      <c r="Q243" s="2">
        <v>2929.5</v>
      </c>
      <c r="R243" s="2">
        <v>12918.85</v>
      </c>
      <c r="S243" s="2">
        <v>1592.5</v>
      </c>
      <c r="T243" s="2">
        <v>21300.999720000003</v>
      </c>
      <c r="U243" s="2">
        <v>3860.1497200000031</v>
      </c>
      <c r="V243" s="5">
        <v>0.18121918082443891</v>
      </c>
    </row>
    <row r="244" spans="1:22" x14ac:dyDescent="0.3">
      <c r="A244">
        <f t="shared" si="3"/>
        <v>243</v>
      </c>
      <c r="B244" t="s">
        <v>328</v>
      </c>
      <c r="C244" s="1">
        <v>45709</v>
      </c>
      <c r="D244" t="s">
        <v>55</v>
      </c>
      <c r="E244" s="6" t="s">
        <v>662</v>
      </c>
      <c r="F244" s="6" t="s">
        <v>66</v>
      </c>
      <c r="G244" s="6" t="s">
        <v>69</v>
      </c>
      <c r="H244" t="s">
        <v>27</v>
      </c>
      <c r="I244" s="6" t="s">
        <v>28</v>
      </c>
      <c r="J244" s="6" t="s">
        <v>32</v>
      </c>
      <c r="K244" s="6" t="s">
        <v>37</v>
      </c>
      <c r="L244" s="6" t="s">
        <v>72</v>
      </c>
      <c r="M244" s="12">
        <v>112</v>
      </c>
      <c r="N244" s="2">
        <v>60.199999999999996</v>
      </c>
      <c r="O244" s="4">
        <v>9.8000000000000004E-2</v>
      </c>
      <c r="P244" s="2">
        <v>6742.4</v>
      </c>
      <c r="Q244" s="2">
        <v>401.1</v>
      </c>
      <c r="R244" s="2">
        <v>3412.5</v>
      </c>
      <c r="S244" s="2">
        <v>312.2</v>
      </c>
      <c r="T244" s="2">
        <v>6081.6448</v>
      </c>
      <c r="U244" s="2">
        <v>1955.8448000000003</v>
      </c>
      <c r="V244" s="5">
        <v>0.32159799927809007</v>
      </c>
    </row>
    <row r="245" spans="1:22" x14ac:dyDescent="0.3">
      <c r="A245">
        <f t="shared" si="3"/>
        <v>244</v>
      </c>
      <c r="B245" t="s">
        <v>329</v>
      </c>
      <c r="C245" s="1">
        <v>45930</v>
      </c>
      <c r="D245" t="s">
        <v>14</v>
      </c>
      <c r="E245" s="6" t="s">
        <v>662</v>
      </c>
      <c r="F245" s="6" t="s">
        <v>66</v>
      </c>
      <c r="G245" s="6" t="s">
        <v>39</v>
      </c>
      <c r="H245" t="s">
        <v>27</v>
      </c>
      <c r="I245" s="6" t="s">
        <v>28</v>
      </c>
      <c r="J245" s="6" t="s">
        <v>32</v>
      </c>
      <c r="K245" s="6" t="s">
        <v>18</v>
      </c>
      <c r="L245" s="6" t="s">
        <v>80</v>
      </c>
      <c r="M245" s="12">
        <v>330</v>
      </c>
      <c r="N245" s="2">
        <v>73.149999999999991</v>
      </c>
      <c r="O245" s="4">
        <v>0.15310000000000001</v>
      </c>
      <c r="P245" s="2">
        <v>24139.499999999996</v>
      </c>
      <c r="Q245" s="2">
        <v>1116.1500000000001</v>
      </c>
      <c r="R245" s="2">
        <v>9812.9500000000007</v>
      </c>
      <c r="S245" s="2">
        <v>1146.95</v>
      </c>
      <c r="T245" s="2">
        <v>20443.742549999995</v>
      </c>
      <c r="U245" s="2">
        <v>8367.6925499999943</v>
      </c>
      <c r="V245" s="5">
        <v>0.40930336162935077</v>
      </c>
    </row>
    <row r="246" spans="1:22" x14ac:dyDescent="0.3">
      <c r="A246">
        <f t="shared" si="3"/>
        <v>245</v>
      </c>
      <c r="B246" t="s">
        <v>330</v>
      </c>
      <c r="C246" s="1">
        <v>46007</v>
      </c>
      <c r="D246" t="s">
        <v>50</v>
      </c>
      <c r="E246" s="6" t="s">
        <v>662</v>
      </c>
      <c r="F246" s="6" t="s">
        <v>42</v>
      </c>
      <c r="G246" s="6" t="s">
        <v>39</v>
      </c>
      <c r="H246" t="s">
        <v>27</v>
      </c>
      <c r="I246" s="6" t="s">
        <v>31</v>
      </c>
      <c r="J246" s="6" t="s">
        <v>32</v>
      </c>
      <c r="K246" s="6" t="s">
        <v>37</v>
      </c>
      <c r="L246" s="6" t="s">
        <v>77</v>
      </c>
      <c r="M246" s="12">
        <v>640</v>
      </c>
      <c r="N246" s="2">
        <v>165.2</v>
      </c>
      <c r="O246" s="4">
        <v>0.1807</v>
      </c>
      <c r="P246" s="2">
        <v>105728</v>
      </c>
      <c r="Q246" s="2">
        <v>2970.7999999999997</v>
      </c>
      <c r="R246" s="2">
        <v>51419.199999999997</v>
      </c>
      <c r="S246" s="2">
        <v>4371.5</v>
      </c>
      <c r="T246" s="2">
        <v>86622.950400000002</v>
      </c>
      <c r="U246" s="2">
        <v>27861.450400000005</v>
      </c>
      <c r="V246" s="5">
        <v>0.32164051526002979</v>
      </c>
    </row>
    <row r="247" spans="1:22" x14ac:dyDescent="0.3">
      <c r="A247">
        <f t="shared" si="3"/>
        <v>246</v>
      </c>
      <c r="B247" t="s">
        <v>331</v>
      </c>
      <c r="C247" s="1">
        <v>45894</v>
      </c>
      <c r="D247" t="s">
        <v>35</v>
      </c>
      <c r="E247" s="6" t="s">
        <v>662</v>
      </c>
      <c r="F247" s="6" t="s">
        <v>66</v>
      </c>
      <c r="G247" s="6" t="s">
        <v>64</v>
      </c>
      <c r="H247" t="s">
        <v>27</v>
      </c>
      <c r="I247" s="6" t="s">
        <v>31</v>
      </c>
      <c r="J247" s="6" t="s">
        <v>24</v>
      </c>
      <c r="K247" s="6" t="s">
        <v>33</v>
      </c>
      <c r="L247" s="6" t="s">
        <v>79</v>
      </c>
      <c r="M247" s="12">
        <v>361</v>
      </c>
      <c r="N247" s="2">
        <v>64.05</v>
      </c>
      <c r="O247" s="4">
        <v>0.17399999999999999</v>
      </c>
      <c r="P247" s="2">
        <v>23122.05</v>
      </c>
      <c r="Q247" s="2">
        <v>1402.45</v>
      </c>
      <c r="R247" s="2">
        <v>12248.599999999999</v>
      </c>
      <c r="S247" s="2">
        <v>869.05</v>
      </c>
      <c r="T247" s="2">
        <v>19098.813300000002</v>
      </c>
      <c r="U247" s="2">
        <v>4578.713300000004</v>
      </c>
      <c r="V247" s="5">
        <v>0.23973810456590011</v>
      </c>
    </row>
    <row r="248" spans="1:22" x14ac:dyDescent="0.3">
      <c r="A248">
        <f t="shared" si="3"/>
        <v>247</v>
      </c>
      <c r="B248" t="s">
        <v>332</v>
      </c>
      <c r="C248" s="1">
        <v>45731</v>
      </c>
      <c r="D248" t="s">
        <v>41</v>
      </c>
      <c r="E248" s="6" t="s">
        <v>662</v>
      </c>
      <c r="F248" s="6" t="s">
        <v>66</v>
      </c>
      <c r="G248" s="6" t="s">
        <v>65</v>
      </c>
      <c r="H248" t="s">
        <v>15</v>
      </c>
      <c r="I248" s="6" t="s">
        <v>23</v>
      </c>
      <c r="J248" s="6" t="s">
        <v>84</v>
      </c>
      <c r="K248" s="6" t="s">
        <v>18</v>
      </c>
      <c r="L248" s="6" t="s">
        <v>80</v>
      </c>
      <c r="M248" s="12">
        <v>82</v>
      </c>
      <c r="N248" s="2">
        <v>80.5</v>
      </c>
      <c r="O248" s="4">
        <v>0.1411</v>
      </c>
      <c r="P248" s="2">
        <v>6601</v>
      </c>
      <c r="Q248" s="2">
        <v>1282.0500000000002</v>
      </c>
      <c r="R248" s="2">
        <v>2845.5</v>
      </c>
      <c r="S248" s="2">
        <v>620.9</v>
      </c>
      <c r="T248" s="2">
        <v>5669.5989</v>
      </c>
      <c r="U248" s="2">
        <v>921.14890000000014</v>
      </c>
      <c r="V248" s="5">
        <v>0.1624716168193133</v>
      </c>
    </row>
    <row r="249" spans="1:22" x14ac:dyDescent="0.3">
      <c r="A249">
        <f t="shared" si="3"/>
        <v>248</v>
      </c>
      <c r="B249" t="s">
        <v>333</v>
      </c>
      <c r="C249" s="1">
        <v>45790</v>
      </c>
      <c r="D249" t="s">
        <v>30</v>
      </c>
      <c r="E249" s="6" t="s">
        <v>662</v>
      </c>
      <c r="F249" s="6" t="s">
        <v>66</v>
      </c>
      <c r="G249" s="6" t="s">
        <v>69</v>
      </c>
      <c r="H249" t="s">
        <v>15</v>
      </c>
      <c r="I249" s="6" t="s">
        <v>23</v>
      </c>
      <c r="J249" s="6" t="s">
        <v>45</v>
      </c>
      <c r="K249" s="6" t="s">
        <v>48</v>
      </c>
      <c r="L249" s="6" t="s">
        <v>54</v>
      </c>
      <c r="M249" s="12">
        <v>37</v>
      </c>
      <c r="N249" s="2">
        <v>83.3</v>
      </c>
      <c r="O249" s="4">
        <v>0.17300000000000001</v>
      </c>
      <c r="P249" s="2">
        <v>3082.1</v>
      </c>
      <c r="Q249" s="2">
        <v>458.84999999999997</v>
      </c>
      <c r="R249" s="2">
        <v>1866.9</v>
      </c>
      <c r="S249" s="2">
        <v>303.45</v>
      </c>
      <c r="T249" s="2">
        <v>2548.8966999999998</v>
      </c>
      <c r="U249" s="2">
        <v>-80.303300000000092</v>
      </c>
      <c r="V249" s="5">
        <v>-3.1505121411942706E-2</v>
      </c>
    </row>
    <row r="250" spans="1:22" x14ac:dyDescent="0.3">
      <c r="A250">
        <f t="shared" si="3"/>
        <v>249</v>
      </c>
      <c r="B250" t="s">
        <v>334</v>
      </c>
      <c r="C250" s="1">
        <v>45948</v>
      </c>
      <c r="D250" t="s">
        <v>20</v>
      </c>
      <c r="E250" s="6" t="s">
        <v>662</v>
      </c>
      <c r="F250" s="6" t="s">
        <v>42</v>
      </c>
      <c r="G250" s="6" t="s">
        <v>65</v>
      </c>
      <c r="H250" t="s">
        <v>15</v>
      </c>
      <c r="I250" s="6" t="s">
        <v>16</v>
      </c>
      <c r="J250" s="6" t="s">
        <v>84</v>
      </c>
      <c r="K250" s="6" t="s">
        <v>18</v>
      </c>
      <c r="L250" s="6" t="s">
        <v>29</v>
      </c>
      <c r="M250" s="12">
        <v>146</v>
      </c>
      <c r="N250" s="2">
        <v>170.10000000000002</v>
      </c>
      <c r="O250" s="4">
        <v>0.12640000000000001</v>
      </c>
      <c r="P250" s="2">
        <v>24834.600000000002</v>
      </c>
      <c r="Q250" s="2">
        <v>3818.85</v>
      </c>
      <c r="R250" s="2">
        <v>11826.85</v>
      </c>
      <c r="S250" s="2">
        <v>1633.45</v>
      </c>
      <c r="T250" s="2">
        <v>21695.506560000002</v>
      </c>
      <c r="U250" s="2">
        <v>4416.3565600000002</v>
      </c>
      <c r="V250" s="5">
        <v>0.20356088703374345</v>
      </c>
    </row>
    <row r="251" spans="1:22" x14ac:dyDescent="0.3">
      <c r="A251">
        <f t="shared" si="3"/>
        <v>250</v>
      </c>
      <c r="B251" t="s">
        <v>335</v>
      </c>
      <c r="C251" s="1">
        <v>45907</v>
      </c>
      <c r="D251" t="s">
        <v>14</v>
      </c>
      <c r="E251" s="6" t="s">
        <v>662</v>
      </c>
      <c r="F251" s="6" t="s">
        <v>66</v>
      </c>
      <c r="G251" s="6" t="s">
        <v>22</v>
      </c>
      <c r="H251" t="s">
        <v>15</v>
      </c>
      <c r="I251" s="6" t="s">
        <v>23</v>
      </c>
      <c r="J251" s="6" t="s">
        <v>84</v>
      </c>
      <c r="K251" s="6" t="s">
        <v>33</v>
      </c>
      <c r="L251" s="6" t="s">
        <v>53</v>
      </c>
      <c r="M251" s="12">
        <v>89</v>
      </c>
      <c r="N251" s="2">
        <v>68.95</v>
      </c>
      <c r="O251" s="4">
        <v>0.14019999999999999</v>
      </c>
      <c r="P251" s="2">
        <v>6136.55</v>
      </c>
      <c r="Q251" s="2">
        <v>981.05000000000007</v>
      </c>
      <c r="R251" s="2">
        <v>3149.3</v>
      </c>
      <c r="S251" s="2">
        <v>475.3</v>
      </c>
      <c r="T251" s="2">
        <v>5276.2056899999998</v>
      </c>
      <c r="U251" s="2">
        <v>670.55568999999934</v>
      </c>
      <c r="V251" s="5">
        <v>0.12709051341021532</v>
      </c>
    </row>
    <row r="252" spans="1:22" x14ac:dyDescent="0.3">
      <c r="A252">
        <f t="shared" si="3"/>
        <v>251</v>
      </c>
      <c r="B252" t="s">
        <v>336</v>
      </c>
      <c r="C252" s="1">
        <v>45915</v>
      </c>
      <c r="D252" t="s">
        <v>14</v>
      </c>
      <c r="E252" s="6" t="s">
        <v>664</v>
      </c>
      <c r="F252" s="6" t="s">
        <v>63</v>
      </c>
      <c r="G252" s="6" t="s">
        <v>68</v>
      </c>
      <c r="H252" t="s">
        <v>27</v>
      </c>
      <c r="I252" s="6" t="s">
        <v>16</v>
      </c>
      <c r="J252" s="6" t="s">
        <v>17</v>
      </c>
      <c r="K252" s="6" t="s">
        <v>48</v>
      </c>
      <c r="L252" s="6" t="s">
        <v>56</v>
      </c>
      <c r="M252" s="12">
        <v>75</v>
      </c>
      <c r="N252" s="2">
        <v>129.85</v>
      </c>
      <c r="O252" s="4">
        <v>0.16350000000000001</v>
      </c>
      <c r="P252" s="2">
        <v>9738.75</v>
      </c>
      <c r="Q252" s="2">
        <v>1110.8999999999999</v>
      </c>
      <c r="R252" s="2">
        <v>4913.6499999999996</v>
      </c>
      <c r="S252" s="2">
        <v>630.35</v>
      </c>
      <c r="T252" s="2">
        <v>8146.4643750000005</v>
      </c>
      <c r="U252" s="2">
        <v>1491.5643750000006</v>
      </c>
      <c r="V252" s="5">
        <v>0.1830934631687996</v>
      </c>
    </row>
    <row r="253" spans="1:22" x14ac:dyDescent="0.3">
      <c r="A253">
        <f t="shared" si="3"/>
        <v>252</v>
      </c>
      <c r="B253" t="s">
        <v>337</v>
      </c>
      <c r="C253" s="1">
        <v>45732</v>
      </c>
      <c r="D253" t="s">
        <v>41</v>
      </c>
      <c r="E253" s="6" t="s">
        <v>663</v>
      </c>
      <c r="F253" s="6" t="s">
        <v>21</v>
      </c>
      <c r="G253" s="6" t="s">
        <v>69</v>
      </c>
      <c r="H253" t="s">
        <v>15</v>
      </c>
      <c r="I253" s="6" t="s">
        <v>23</v>
      </c>
      <c r="J253" s="6" t="s">
        <v>32</v>
      </c>
      <c r="K253" s="6" t="s">
        <v>18</v>
      </c>
      <c r="L253" s="6" t="s">
        <v>59</v>
      </c>
      <c r="M253" s="12">
        <v>12</v>
      </c>
      <c r="N253" s="2">
        <v>227.85</v>
      </c>
      <c r="O253" s="4">
        <v>8.5500000000000007E-2</v>
      </c>
      <c r="P253" s="2">
        <v>2734.2</v>
      </c>
      <c r="Q253" s="2">
        <v>326.2</v>
      </c>
      <c r="R253" s="2">
        <v>1536.85</v>
      </c>
      <c r="S253" s="2">
        <v>262.15000000000003</v>
      </c>
      <c r="T253" s="2">
        <v>2500.4258999999997</v>
      </c>
      <c r="U253" s="2">
        <v>375.22589999999974</v>
      </c>
      <c r="V253" s="5">
        <v>0.15006479496153027</v>
      </c>
    </row>
    <row r="254" spans="1:22" x14ac:dyDescent="0.3">
      <c r="A254">
        <f t="shared" si="3"/>
        <v>253</v>
      </c>
      <c r="B254" t="s">
        <v>338</v>
      </c>
      <c r="C254" s="1">
        <v>45976</v>
      </c>
      <c r="D254" t="s">
        <v>67</v>
      </c>
      <c r="E254" s="6" t="s">
        <v>663</v>
      </c>
      <c r="F254" s="6" t="s">
        <v>21</v>
      </c>
      <c r="G254" s="6" t="s">
        <v>22</v>
      </c>
      <c r="H254" t="s">
        <v>15</v>
      </c>
      <c r="I254" s="6" t="s">
        <v>23</v>
      </c>
      <c r="J254" s="6" t="s">
        <v>32</v>
      </c>
      <c r="K254" s="6" t="s">
        <v>37</v>
      </c>
      <c r="L254" s="6" t="s">
        <v>38</v>
      </c>
      <c r="M254" s="12">
        <v>54</v>
      </c>
      <c r="N254" s="2">
        <v>84.7</v>
      </c>
      <c r="O254" s="4">
        <v>1.6299999999999999E-2</v>
      </c>
      <c r="P254" s="2">
        <v>4573.8</v>
      </c>
      <c r="Q254" s="2">
        <v>653.45000000000005</v>
      </c>
      <c r="R254" s="2">
        <v>2169.65</v>
      </c>
      <c r="S254" s="2">
        <v>500.85</v>
      </c>
      <c r="T254" s="2">
        <v>4499.2470600000006</v>
      </c>
      <c r="U254" s="2">
        <v>1175.2970600000006</v>
      </c>
      <c r="V254" s="5">
        <v>0.26122083191404039</v>
      </c>
    </row>
    <row r="255" spans="1:22" x14ac:dyDescent="0.3">
      <c r="A255">
        <f t="shared" si="3"/>
        <v>254</v>
      </c>
      <c r="B255" t="s">
        <v>339</v>
      </c>
      <c r="C255" s="1">
        <v>45738</v>
      </c>
      <c r="D255" t="s">
        <v>41</v>
      </c>
      <c r="E255" s="6" t="s">
        <v>662</v>
      </c>
      <c r="F255" s="6" t="s">
        <v>66</v>
      </c>
      <c r="G255" s="6" t="s">
        <v>82</v>
      </c>
      <c r="H255" t="s">
        <v>27</v>
      </c>
      <c r="I255" s="6" t="s">
        <v>16</v>
      </c>
      <c r="J255" s="6" t="s">
        <v>24</v>
      </c>
      <c r="K255" s="6" t="s">
        <v>37</v>
      </c>
      <c r="L255" s="6" t="s">
        <v>60</v>
      </c>
      <c r="M255" s="12">
        <v>236</v>
      </c>
      <c r="N255" s="2">
        <v>157.15</v>
      </c>
      <c r="O255" s="4">
        <v>0.19370000000000001</v>
      </c>
      <c r="P255" s="2">
        <v>37087.4</v>
      </c>
      <c r="Q255" s="2">
        <v>4412.1000000000004</v>
      </c>
      <c r="R255" s="2">
        <v>18669.699999999997</v>
      </c>
      <c r="S255" s="2">
        <v>1979.95</v>
      </c>
      <c r="T255" s="2">
        <v>29903.570620000002</v>
      </c>
      <c r="U255" s="2">
        <v>4841.8206200000041</v>
      </c>
      <c r="V255" s="5">
        <v>0.16191446438044138</v>
      </c>
    </row>
    <row r="256" spans="1:22" x14ac:dyDescent="0.3">
      <c r="A256">
        <f t="shared" si="3"/>
        <v>255</v>
      </c>
      <c r="B256" t="s">
        <v>340</v>
      </c>
      <c r="C256" s="1">
        <v>45762</v>
      </c>
      <c r="D256" t="s">
        <v>61</v>
      </c>
      <c r="E256" s="6" t="s">
        <v>664</v>
      </c>
      <c r="F256" s="6" t="s">
        <v>63</v>
      </c>
      <c r="G256" s="6" t="s">
        <v>39</v>
      </c>
      <c r="H256" t="s">
        <v>15</v>
      </c>
      <c r="I256" s="6" t="s">
        <v>23</v>
      </c>
      <c r="J256" s="6" t="s">
        <v>17</v>
      </c>
      <c r="K256" s="6" t="s">
        <v>46</v>
      </c>
      <c r="L256" s="6" t="s">
        <v>76</v>
      </c>
      <c r="M256" s="12">
        <v>113</v>
      </c>
      <c r="N256" s="2">
        <v>277.55</v>
      </c>
      <c r="O256" s="4">
        <v>0.1192</v>
      </c>
      <c r="P256" s="2">
        <v>31363.15</v>
      </c>
      <c r="Q256" s="2">
        <v>4263</v>
      </c>
      <c r="R256" s="2">
        <v>14745.85</v>
      </c>
      <c r="S256" s="2">
        <v>3207.75</v>
      </c>
      <c r="T256" s="2">
        <v>27624.662520000002</v>
      </c>
      <c r="U256" s="2">
        <v>5408.0625200000013</v>
      </c>
      <c r="V256" s="5">
        <v>0.19576936066041037</v>
      </c>
    </row>
    <row r="257" spans="1:22" x14ac:dyDescent="0.3">
      <c r="A257">
        <f t="shared" si="3"/>
        <v>256</v>
      </c>
      <c r="B257" t="s">
        <v>341</v>
      </c>
      <c r="C257" s="1">
        <v>45955</v>
      </c>
      <c r="D257" t="s">
        <v>20</v>
      </c>
      <c r="E257" s="6" t="s">
        <v>662</v>
      </c>
      <c r="F257" s="6" t="s">
        <v>42</v>
      </c>
      <c r="G257" s="6" t="s">
        <v>82</v>
      </c>
      <c r="H257" t="s">
        <v>27</v>
      </c>
      <c r="I257" s="6" t="s">
        <v>28</v>
      </c>
      <c r="J257" s="6" t="s">
        <v>52</v>
      </c>
      <c r="K257" s="6" t="s">
        <v>33</v>
      </c>
      <c r="L257" s="6" t="s">
        <v>34</v>
      </c>
      <c r="M257" s="12">
        <v>296</v>
      </c>
      <c r="N257" s="2">
        <v>107.44999999999999</v>
      </c>
      <c r="O257" s="4">
        <v>0.20989999999999998</v>
      </c>
      <c r="P257" s="2">
        <v>31805.199999999997</v>
      </c>
      <c r="Q257" s="2">
        <v>2982</v>
      </c>
      <c r="R257" s="2">
        <v>15458.1</v>
      </c>
      <c r="S257" s="2">
        <v>1307.5999999999999</v>
      </c>
      <c r="T257" s="2">
        <v>25129.288519999998</v>
      </c>
      <c r="U257" s="2">
        <v>5381.5885199999993</v>
      </c>
      <c r="V257" s="5">
        <v>0.2141560241833699</v>
      </c>
    </row>
    <row r="258" spans="1:22" x14ac:dyDescent="0.3">
      <c r="A258">
        <f t="shared" ref="A258:A321" si="4">ROW(B257)</f>
        <v>257</v>
      </c>
      <c r="B258" t="s">
        <v>342</v>
      </c>
      <c r="C258" s="1">
        <v>45870</v>
      </c>
      <c r="D258" t="s">
        <v>35</v>
      </c>
      <c r="E258" s="6" t="s">
        <v>662</v>
      </c>
      <c r="F258" s="6" t="s">
        <v>42</v>
      </c>
      <c r="G258" s="6" t="s">
        <v>68</v>
      </c>
      <c r="H258" t="s">
        <v>15</v>
      </c>
      <c r="I258" s="6" t="s">
        <v>16</v>
      </c>
      <c r="J258" s="6" t="s">
        <v>32</v>
      </c>
      <c r="K258" s="6" t="s">
        <v>37</v>
      </c>
      <c r="L258" s="6" t="s">
        <v>38</v>
      </c>
      <c r="M258" s="12">
        <v>188</v>
      </c>
      <c r="N258" s="2">
        <v>81.55</v>
      </c>
      <c r="O258" s="4">
        <v>4.99E-2</v>
      </c>
      <c r="P258" s="2">
        <v>15331.4</v>
      </c>
      <c r="Q258" s="2">
        <v>1446.9</v>
      </c>
      <c r="R258" s="2">
        <v>7079.8</v>
      </c>
      <c r="S258" s="2">
        <v>1101.1000000000001</v>
      </c>
      <c r="T258" s="2">
        <v>14566.363139999999</v>
      </c>
      <c r="U258" s="2">
        <v>4938.5631399999984</v>
      </c>
      <c r="V258" s="5">
        <v>0.33903885908476661</v>
      </c>
    </row>
    <row r="259" spans="1:22" x14ac:dyDescent="0.3">
      <c r="A259">
        <f t="shared" si="4"/>
        <v>258</v>
      </c>
      <c r="B259" t="s">
        <v>343</v>
      </c>
      <c r="C259" s="1">
        <v>45674</v>
      </c>
      <c r="D259" t="s">
        <v>44</v>
      </c>
      <c r="E259" s="6" t="s">
        <v>662</v>
      </c>
      <c r="F259" s="6" t="s">
        <v>66</v>
      </c>
      <c r="G259" s="6" t="s">
        <v>65</v>
      </c>
      <c r="H259" t="s">
        <v>27</v>
      </c>
      <c r="I259" s="6" t="s">
        <v>31</v>
      </c>
      <c r="J259" s="6" t="s">
        <v>84</v>
      </c>
      <c r="K259" s="6" t="s">
        <v>18</v>
      </c>
      <c r="L259" s="6" t="s">
        <v>80</v>
      </c>
      <c r="M259" s="12">
        <v>758</v>
      </c>
      <c r="N259" s="2">
        <v>85.399999999999991</v>
      </c>
      <c r="O259" s="4">
        <v>0.19039999999999999</v>
      </c>
      <c r="P259" s="2">
        <v>64733.2</v>
      </c>
      <c r="Q259" s="2">
        <v>4870.25</v>
      </c>
      <c r="R259" s="2">
        <v>25712.75</v>
      </c>
      <c r="S259" s="2">
        <v>2146.5499999999997</v>
      </c>
      <c r="T259" s="2">
        <v>52407.998719999996</v>
      </c>
      <c r="U259" s="2">
        <v>19678.448719999993</v>
      </c>
      <c r="V259" s="5">
        <v>0.37548559763054418</v>
      </c>
    </row>
    <row r="260" spans="1:22" x14ac:dyDescent="0.3">
      <c r="A260">
        <f t="shared" si="4"/>
        <v>259</v>
      </c>
      <c r="B260" t="s">
        <v>344</v>
      </c>
      <c r="C260" s="1">
        <v>45765</v>
      </c>
      <c r="D260" t="s">
        <v>61</v>
      </c>
      <c r="E260" s="6" t="s">
        <v>662</v>
      </c>
      <c r="F260" s="6" t="s">
        <v>66</v>
      </c>
      <c r="G260" s="6" t="s">
        <v>22</v>
      </c>
      <c r="H260" t="s">
        <v>15</v>
      </c>
      <c r="I260" s="6" t="s">
        <v>23</v>
      </c>
      <c r="J260" s="6" t="s">
        <v>36</v>
      </c>
      <c r="K260" s="6" t="s">
        <v>46</v>
      </c>
      <c r="L260" s="6" t="s">
        <v>83</v>
      </c>
      <c r="M260" s="12">
        <v>94</v>
      </c>
      <c r="N260" s="2">
        <v>137.9</v>
      </c>
      <c r="O260" s="4">
        <v>0.12939999999999999</v>
      </c>
      <c r="P260" s="2">
        <v>12962.6</v>
      </c>
      <c r="Q260" s="2">
        <v>1568.7</v>
      </c>
      <c r="R260" s="2">
        <v>6091.05</v>
      </c>
      <c r="S260" s="2">
        <v>1095.1499999999999</v>
      </c>
      <c r="T260" s="2">
        <v>11285.23956</v>
      </c>
      <c r="U260" s="2">
        <v>2530.3395600000003</v>
      </c>
      <c r="V260" s="5">
        <v>0.22421673430563846</v>
      </c>
    </row>
    <row r="261" spans="1:22" x14ac:dyDescent="0.3">
      <c r="A261">
        <f t="shared" si="4"/>
        <v>260</v>
      </c>
      <c r="B261" t="s">
        <v>345</v>
      </c>
      <c r="C261" s="1">
        <v>46016</v>
      </c>
      <c r="D261" t="s">
        <v>50</v>
      </c>
      <c r="E261" s="6" t="s">
        <v>664</v>
      </c>
      <c r="F261" s="6" t="s">
        <v>63</v>
      </c>
      <c r="G261" s="6" t="s">
        <v>68</v>
      </c>
      <c r="H261" t="s">
        <v>15</v>
      </c>
      <c r="I261" s="6" t="s">
        <v>23</v>
      </c>
      <c r="J261" s="6" t="s">
        <v>32</v>
      </c>
      <c r="K261" s="6" t="s">
        <v>33</v>
      </c>
      <c r="L261" s="6" t="s">
        <v>79</v>
      </c>
      <c r="M261" s="12">
        <v>39</v>
      </c>
      <c r="N261" s="2">
        <v>68.95</v>
      </c>
      <c r="O261" s="4">
        <v>0.03</v>
      </c>
      <c r="P261" s="2">
        <v>2689.05</v>
      </c>
      <c r="Q261" s="2">
        <v>437.84999999999997</v>
      </c>
      <c r="R261" s="2">
        <v>1734.25</v>
      </c>
      <c r="S261" s="2">
        <v>267.39999999999998</v>
      </c>
      <c r="T261" s="2">
        <v>2608.3785000000003</v>
      </c>
      <c r="U261" s="2">
        <v>168.8785000000002</v>
      </c>
      <c r="V261" s="5">
        <v>6.4744629661684525E-2</v>
      </c>
    </row>
    <row r="262" spans="1:22" x14ac:dyDescent="0.3">
      <c r="A262">
        <f t="shared" si="4"/>
        <v>261</v>
      </c>
      <c r="B262" t="s">
        <v>346</v>
      </c>
      <c r="C262" s="1">
        <v>45831</v>
      </c>
      <c r="D262" t="s">
        <v>58</v>
      </c>
      <c r="E262" s="6" t="s">
        <v>664</v>
      </c>
      <c r="F262" s="6" t="s">
        <v>63</v>
      </c>
      <c r="G262" s="6" t="s">
        <v>68</v>
      </c>
      <c r="H262" t="s">
        <v>27</v>
      </c>
      <c r="I262" s="6" t="s">
        <v>31</v>
      </c>
      <c r="J262" s="6" t="s">
        <v>32</v>
      </c>
      <c r="K262" s="6" t="s">
        <v>18</v>
      </c>
      <c r="L262" s="6" t="s">
        <v>25</v>
      </c>
      <c r="M262" s="12">
        <v>309</v>
      </c>
      <c r="N262" s="2">
        <v>85.050000000000011</v>
      </c>
      <c r="O262" s="4">
        <v>0.1777</v>
      </c>
      <c r="P262" s="2">
        <v>26280.450000000004</v>
      </c>
      <c r="Q262" s="2">
        <v>989.80000000000007</v>
      </c>
      <c r="R262" s="2">
        <v>10372.950000000001</v>
      </c>
      <c r="S262" s="2">
        <v>1013.9499999999999</v>
      </c>
      <c r="T262" s="2">
        <v>21610.414035000005</v>
      </c>
      <c r="U262" s="2">
        <v>9233.7140350000045</v>
      </c>
      <c r="V262" s="5">
        <v>0.42728075547489169</v>
      </c>
    </row>
    <row r="263" spans="1:22" x14ac:dyDescent="0.3">
      <c r="A263">
        <f t="shared" si="4"/>
        <v>262</v>
      </c>
      <c r="B263" t="s">
        <v>347</v>
      </c>
      <c r="C263" s="1">
        <v>45962</v>
      </c>
      <c r="D263" t="s">
        <v>67</v>
      </c>
      <c r="E263" s="6" t="s">
        <v>663</v>
      </c>
      <c r="F263" s="6" t="s">
        <v>21</v>
      </c>
      <c r="G263" s="6" t="s">
        <v>68</v>
      </c>
      <c r="H263" t="s">
        <v>15</v>
      </c>
      <c r="I263" s="6" t="s">
        <v>16</v>
      </c>
      <c r="J263" s="6" t="s">
        <v>32</v>
      </c>
      <c r="K263" s="6" t="s">
        <v>48</v>
      </c>
      <c r="L263" s="6" t="s">
        <v>54</v>
      </c>
      <c r="M263" s="12">
        <v>150</v>
      </c>
      <c r="N263" s="2">
        <v>80.850000000000009</v>
      </c>
      <c r="O263" s="4">
        <v>6.83E-2</v>
      </c>
      <c r="P263" s="2">
        <v>12127.500000000002</v>
      </c>
      <c r="Q263" s="2">
        <v>1030.4000000000001</v>
      </c>
      <c r="R263" s="2">
        <v>8256.85</v>
      </c>
      <c r="S263" s="2">
        <v>1005.5500000000001</v>
      </c>
      <c r="T263" s="2">
        <v>11299.191750000002</v>
      </c>
      <c r="U263" s="2">
        <v>1006.391750000002</v>
      </c>
      <c r="V263" s="5">
        <v>8.9067587511292734E-2</v>
      </c>
    </row>
    <row r="264" spans="1:22" x14ac:dyDescent="0.3">
      <c r="A264">
        <f t="shared" si="4"/>
        <v>263</v>
      </c>
      <c r="B264" t="s">
        <v>348</v>
      </c>
      <c r="C264" s="1">
        <v>45862</v>
      </c>
      <c r="D264" t="s">
        <v>26</v>
      </c>
      <c r="E264" s="6" t="s">
        <v>662</v>
      </c>
      <c r="F264" s="6" t="s">
        <v>66</v>
      </c>
      <c r="G264" s="6" t="s">
        <v>64</v>
      </c>
      <c r="H264" t="s">
        <v>27</v>
      </c>
      <c r="I264" s="6" t="s">
        <v>16</v>
      </c>
      <c r="J264" s="6" t="s">
        <v>45</v>
      </c>
      <c r="K264" s="6" t="s">
        <v>37</v>
      </c>
      <c r="L264" s="6" t="s">
        <v>90</v>
      </c>
      <c r="M264" s="12">
        <v>92</v>
      </c>
      <c r="N264" s="2">
        <v>147.69999999999999</v>
      </c>
      <c r="O264" s="4">
        <v>0.18920000000000001</v>
      </c>
      <c r="P264" s="2">
        <v>13588.4</v>
      </c>
      <c r="Q264" s="2">
        <v>1622.6</v>
      </c>
      <c r="R264" s="2">
        <v>5694.85</v>
      </c>
      <c r="S264" s="2">
        <v>812.69999999999993</v>
      </c>
      <c r="T264" s="2">
        <v>11017.474719999998</v>
      </c>
      <c r="U264" s="2">
        <v>2887.3247199999973</v>
      </c>
      <c r="V264" s="5">
        <v>0.26206774178103109</v>
      </c>
    </row>
    <row r="265" spans="1:22" x14ac:dyDescent="0.3">
      <c r="A265">
        <f t="shared" si="4"/>
        <v>264</v>
      </c>
      <c r="B265" t="s">
        <v>349</v>
      </c>
      <c r="C265" s="1">
        <v>45692</v>
      </c>
      <c r="D265" t="s">
        <v>55</v>
      </c>
      <c r="E265" s="6" t="s">
        <v>663</v>
      </c>
      <c r="F265" s="6" t="s">
        <v>21</v>
      </c>
      <c r="G265" s="6" t="s">
        <v>82</v>
      </c>
      <c r="H265" t="s">
        <v>15</v>
      </c>
      <c r="I265" s="6" t="s">
        <v>16</v>
      </c>
      <c r="J265" s="6" t="s">
        <v>32</v>
      </c>
      <c r="K265" s="6" t="s">
        <v>48</v>
      </c>
      <c r="L265" s="6" t="s">
        <v>49</v>
      </c>
      <c r="M265" s="12">
        <v>207</v>
      </c>
      <c r="N265" s="2">
        <v>114.1</v>
      </c>
      <c r="O265" s="4">
        <v>7.22E-2</v>
      </c>
      <c r="P265" s="2">
        <v>23618.699999999997</v>
      </c>
      <c r="Q265" s="2">
        <v>2399.25</v>
      </c>
      <c r="R265" s="2">
        <v>13724.2</v>
      </c>
      <c r="S265" s="2">
        <v>1964.9</v>
      </c>
      <c r="T265" s="2">
        <v>21913.429859999997</v>
      </c>
      <c r="U265" s="2">
        <v>3825.0798599999944</v>
      </c>
      <c r="V265" s="5">
        <v>0.1745541380074947</v>
      </c>
    </row>
    <row r="266" spans="1:22" x14ac:dyDescent="0.3">
      <c r="A266">
        <f t="shared" si="4"/>
        <v>265</v>
      </c>
      <c r="B266" t="s">
        <v>350</v>
      </c>
      <c r="C266" s="1">
        <v>45886</v>
      </c>
      <c r="D266" t="s">
        <v>35</v>
      </c>
      <c r="E266" s="6" t="s">
        <v>662</v>
      </c>
      <c r="F266" s="6" t="s">
        <v>66</v>
      </c>
      <c r="G266" s="6" t="s">
        <v>43</v>
      </c>
      <c r="H266" t="s">
        <v>15</v>
      </c>
      <c r="I266" s="6" t="s">
        <v>23</v>
      </c>
      <c r="J266" s="6" t="s">
        <v>32</v>
      </c>
      <c r="K266" s="6" t="s">
        <v>46</v>
      </c>
      <c r="L266" s="6" t="s">
        <v>47</v>
      </c>
      <c r="M266" s="12">
        <v>14</v>
      </c>
      <c r="N266" s="2">
        <v>179.89999999999998</v>
      </c>
      <c r="O266" s="4">
        <v>6.2800000000000009E-2</v>
      </c>
      <c r="P266" s="2">
        <v>2518.5999999999995</v>
      </c>
      <c r="Q266" s="2">
        <v>579.25</v>
      </c>
      <c r="R266" s="2">
        <v>1464.05</v>
      </c>
      <c r="S266" s="2">
        <v>289.09999999999997</v>
      </c>
      <c r="T266" s="2">
        <v>2360.4319199999995</v>
      </c>
      <c r="U266" s="2">
        <v>28.031919999999673</v>
      </c>
      <c r="V266" s="5">
        <v>1.1875758738256546E-2</v>
      </c>
    </row>
    <row r="267" spans="1:22" x14ac:dyDescent="0.3">
      <c r="A267">
        <f t="shared" si="4"/>
        <v>266</v>
      </c>
      <c r="B267" t="s">
        <v>351</v>
      </c>
      <c r="C267" s="1">
        <v>45916</v>
      </c>
      <c r="D267" t="s">
        <v>14</v>
      </c>
      <c r="E267" s="6" t="s">
        <v>664</v>
      </c>
      <c r="F267" s="6" t="s">
        <v>63</v>
      </c>
      <c r="G267" s="6" t="s">
        <v>43</v>
      </c>
      <c r="H267" t="s">
        <v>15</v>
      </c>
      <c r="I267" s="6" t="s">
        <v>23</v>
      </c>
      <c r="J267" s="6" t="s">
        <v>17</v>
      </c>
      <c r="K267" s="6" t="s">
        <v>37</v>
      </c>
      <c r="L267" s="6" t="s">
        <v>72</v>
      </c>
      <c r="M267" s="12">
        <v>10</v>
      </c>
      <c r="N267" s="2">
        <v>64.05</v>
      </c>
      <c r="O267" s="4">
        <v>6.3E-2</v>
      </c>
      <c r="P267" s="2">
        <v>640.5</v>
      </c>
      <c r="Q267" s="2">
        <v>91.7</v>
      </c>
      <c r="R267" s="2">
        <v>298.89999999999998</v>
      </c>
      <c r="S267" s="2">
        <v>66.849999999999994</v>
      </c>
      <c r="T267" s="2">
        <v>600.14850000000001</v>
      </c>
      <c r="U267" s="2">
        <v>142.69850000000002</v>
      </c>
      <c r="V267" s="5">
        <v>0.23777198476710351</v>
      </c>
    </row>
    <row r="268" spans="1:22" x14ac:dyDescent="0.3">
      <c r="A268">
        <f t="shared" si="4"/>
        <v>267</v>
      </c>
      <c r="B268" t="s">
        <v>352</v>
      </c>
      <c r="C268" s="1">
        <v>45940</v>
      </c>
      <c r="D268" t="s">
        <v>20</v>
      </c>
      <c r="E268" s="6" t="s">
        <v>662</v>
      </c>
      <c r="F268" s="6" t="s">
        <v>42</v>
      </c>
      <c r="G268" s="6" t="s">
        <v>43</v>
      </c>
      <c r="H268" t="s">
        <v>27</v>
      </c>
      <c r="I268" s="6" t="s">
        <v>28</v>
      </c>
      <c r="J268" s="6" t="s">
        <v>32</v>
      </c>
      <c r="K268" s="6" t="s">
        <v>48</v>
      </c>
      <c r="L268" s="6" t="s">
        <v>56</v>
      </c>
      <c r="M268" s="12">
        <v>330</v>
      </c>
      <c r="N268" s="2">
        <v>113.75</v>
      </c>
      <c r="O268" s="4">
        <v>0.12789999999999999</v>
      </c>
      <c r="P268" s="2">
        <v>37537.5</v>
      </c>
      <c r="Q268" s="2">
        <v>2121.6999999999998</v>
      </c>
      <c r="R268" s="2">
        <v>21096.95</v>
      </c>
      <c r="S268" s="2">
        <v>2271.5</v>
      </c>
      <c r="T268" s="2">
        <v>32736.453750000001</v>
      </c>
      <c r="U268" s="2">
        <v>7246.30375</v>
      </c>
      <c r="V268" s="5">
        <v>0.22135274044458772</v>
      </c>
    </row>
    <row r="269" spans="1:22" x14ac:dyDescent="0.3">
      <c r="A269">
        <f t="shared" si="4"/>
        <v>268</v>
      </c>
      <c r="B269" t="s">
        <v>353</v>
      </c>
      <c r="C269" s="1">
        <v>45915</v>
      </c>
      <c r="D269" t="s">
        <v>14</v>
      </c>
      <c r="E269" s="6" t="s">
        <v>664</v>
      </c>
      <c r="F269" s="6" t="s">
        <v>63</v>
      </c>
      <c r="G269" s="6" t="s">
        <v>65</v>
      </c>
      <c r="H269" t="s">
        <v>27</v>
      </c>
      <c r="I269" s="6" t="s">
        <v>31</v>
      </c>
      <c r="J269" s="6" t="s">
        <v>36</v>
      </c>
      <c r="K269" s="6" t="s">
        <v>37</v>
      </c>
      <c r="L269" s="6" t="s">
        <v>38</v>
      </c>
      <c r="M269" s="12">
        <v>369</v>
      </c>
      <c r="N269" s="2">
        <v>75.600000000000009</v>
      </c>
      <c r="O269" s="4">
        <v>0.15179999999999999</v>
      </c>
      <c r="P269" s="2">
        <v>27896.400000000001</v>
      </c>
      <c r="Q269" s="2">
        <v>1760.8500000000001</v>
      </c>
      <c r="R269" s="2">
        <v>12618.900000000001</v>
      </c>
      <c r="S269" s="2">
        <v>1046.5</v>
      </c>
      <c r="T269" s="2">
        <v>23661.726480000005</v>
      </c>
      <c r="U269" s="2">
        <v>8235.476480000003</v>
      </c>
      <c r="V269" s="5">
        <v>0.34805053160262889</v>
      </c>
    </row>
    <row r="270" spans="1:22" x14ac:dyDescent="0.3">
      <c r="A270">
        <f t="shared" si="4"/>
        <v>269</v>
      </c>
      <c r="B270" t="s">
        <v>354</v>
      </c>
      <c r="C270" s="1">
        <v>45850</v>
      </c>
      <c r="D270" t="s">
        <v>26</v>
      </c>
      <c r="E270" s="6" t="s">
        <v>662</v>
      </c>
      <c r="F270" s="6" t="s">
        <v>42</v>
      </c>
      <c r="G270" s="6" t="s">
        <v>64</v>
      </c>
      <c r="H270" t="s">
        <v>15</v>
      </c>
      <c r="I270" s="6" t="s">
        <v>23</v>
      </c>
      <c r="J270" s="6" t="s">
        <v>36</v>
      </c>
      <c r="K270" s="6" t="s">
        <v>33</v>
      </c>
      <c r="L270" s="6" t="s">
        <v>78</v>
      </c>
      <c r="M270" s="12">
        <v>49</v>
      </c>
      <c r="N270" s="2">
        <v>96.25</v>
      </c>
      <c r="O270" s="4">
        <v>7.1900000000000006E-2</v>
      </c>
      <c r="P270" s="2">
        <v>4716.25</v>
      </c>
      <c r="Q270" s="2">
        <v>705.95</v>
      </c>
      <c r="R270" s="2">
        <v>2531.1999999999998</v>
      </c>
      <c r="S270" s="2">
        <v>460.95</v>
      </c>
      <c r="T270" s="2">
        <v>4377.1516250000004</v>
      </c>
      <c r="U270" s="2">
        <v>679.05162500000074</v>
      </c>
      <c r="V270" s="5">
        <v>0.15513550435895643</v>
      </c>
    </row>
    <row r="271" spans="1:22" x14ac:dyDescent="0.3">
      <c r="A271">
        <f t="shared" si="4"/>
        <v>270</v>
      </c>
      <c r="B271" t="s">
        <v>355</v>
      </c>
      <c r="C271" s="1">
        <v>45829</v>
      </c>
      <c r="D271" t="s">
        <v>58</v>
      </c>
      <c r="E271" s="6" t="s">
        <v>663</v>
      </c>
      <c r="F271" s="6" t="s">
        <v>21</v>
      </c>
      <c r="G271" s="6" t="s">
        <v>22</v>
      </c>
      <c r="H271" t="s">
        <v>15</v>
      </c>
      <c r="I271" s="6" t="s">
        <v>16</v>
      </c>
      <c r="J271" s="6" t="s">
        <v>32</v>
      </c>
      <c r="K271" s="6" t="s">
        <v>48</v>
      </c>
      <c r="L271" s="6" t="s">
        <v>57</v>
      </c>
      <c r="M271" s="12">
        <v>155</v>
      </c>
      <c r="N271" s="2">
        <v>83.3</v>
      </c>
      <c r="O271" s="4">
        <v>4.8300000000000003E-2</v>
      </c>
      <c r="P271" s="2">
        <v>12911.5</v>
      </c>
      <c r="Q271" s="2">
        <v>1186.8499999999999</v>
      </c>
      <c r="R271" s="2">
        <v>8277.15</v>
      </c>
      <c r="S271" s="2">
        <v>1055.95</v>
      </c>
      <c r="T271" s="2">
        <v>12287.87455</v>
      </c>
      <c r="U271" s="2">
        <v>1767.9245500000002</v>
      </c>
      <c r="V271" s="5">
        <v>0.14387553704314146</v>
      </c>
    </row>
    <row r="272" spans="1:22" x14ac:dyDescent="0.3">
      <c r="A272">
        <f t="shared" si="4"/>
        <v>271</v>
      </c>
      <c r="B272" t="s">
        <v>356</v>
      </c>
      <c r="C272" s="1">
        <v>45857</v>
      </c>
      <c r="D272" t="s">
        <v>26</v>
      </c>
      <c r="E272" s="6" t="s">
        <v>662</v>
      </c>
      <c r="F272" s="6" t="s">
        <v>66</v>
      </c>
      <c r="G272" s="6" t="s">
        <v>64</v>
      </c>
      <c r="H272" t="s">
        <v>15</v>
      </c>
      <c r="I272" s="6" t="s">
        <v>16</v>
      </c>
      <c r="J272" s="6" t="s">
        <v>24</v>
      </c>
      <c r="K272" s="6" t="s">
        <v>18</v>
      </c>
      <c r="L272" s="6" t="s">
        <v>25</v>
      </c>
      <c r="M272" s="12">
        <v>213</v>
      </c>
      <c r="N272" s="2">
        <v>92.75</v>
      </c>
      <c r="O272" s="4">
        <v>0.1168</v>
      </c>
      <c r="P272" s="2">
        <v>19755.75</v>
      </c>
      <c r="Q272" s="2">
        <v>1923.95</v>
      </c>
      <c r="R272" s="2">
        <v>8375.15</v>
      </c>
      <c r="S272" s="2">
        <v>1200.8500000000001</v>
      </c>
      <c r="T272" s="2">
        <v>17448.278399999999</v>
      </c>
      <c r="U272" s="2">
        <v>5948.3283999999994</v>
      </c>
      <c r="V272" s="5">
        <v>0.34091205238907696</v>
      </c>
    </row>
    <row r="273" spans="1:22" x14ac:dyDescent="0.3">
      <c r="A273">
        <f t="shared" si="4"/>
        <v>272</v>
      </c>
      <c r="B273" t="s">
        <v>357</v>
      </c>
      <c r="C273" s="1">
        <v>45924</v>
      </c>
      <c r="D273" t="s">
        <v>14</v>
      </c>
      <c r="E273" s="6" t="s">
        <v>663</v>
      </c>
      <c r="F273" s="6" t="s">
        <v>21</v>
      </c>
      <c r="G273" s="6" t="s">
        <v>39</v>
      </c>
      <c r="H273" t="s">
        <v>27</v>
      </c>
      <c r="I273" s="6" t="s">
        <v>16</v>
      </c>
      <c r="J273" s="6" t="s">
        <v>32</v>
      </c>
      <c r="K273" s="6" t="s">
        <v>46</v>
      </c>
      <c r="L273" s="6" t="s">
        <v>51</v>
      </c>
      <c r="M273" s="12">
        <v>137</v>
      </c>
      <c r="N273" s="2">
        <v>138.6</v>
      </c>
      <c r="O273" s="4">
        <v>0.11269999999999999</v>
      </c>
      <c r="P273" s="2">
        <v>18988.2</v>
      </c>
      <c r="Q273" s="2">
        <v>1445.1499999999999</v>
      </c>
      <c r="R273" s="2">
        <v>8737.75</v>
      </c>
      <c r="S273" s="2">
        <v>1409.45</v>
      </c>
      <c r="T273" s="2">
        <v>16848.229859999999</v>
      </c>
      <c r="U273" s="2">
        <v>5255.8798599999991</v>
      </c>
      <c r="V273" s="5">
        <v>0.31195442510421684</v>
      </c>
    </row>
    <row r="274" spans="1:22" x14ac:dyDescent="0.3">
      <c r="A274">
        <f t="shared" si="4"/>
        <v>273</v>
      </c>
      <c r="B274" t="s">
        <v>358</v>
      </c>
      <c r="C274" s="1">
        <v>45895</v>
      </c>
      <c r="D274" t="s">
        <v>35</v>
      </c>
      <c r="E274" s="6" t="s">
        <v>663</v>
      </c>
      <c r="F274" s="6" t="s">
        <v>21</v>
      </c>
      <c r="G274" s="6" t="s">
        <v>64</v>
      </c>
      <c r="H274" t="s">
        <v>27</v>
      </c>
      <c r="I274" s="6" t="s">
        <v>31</v>
      </c>
      <c r="J274" s="6" t="s">
        <v>24</v>
      </c>
      <c r="K274" s="6" t="s">
        <v>48</v>
      </c>
      <c r="L274" s="6" t="s">
        <v>49</v>
      </c>
      <c r="M274" s="12">
        <v>620</v>
      </c>
      <c r="N274" s="2">
        <v>101.5</v>
      </c>
      <c r="O274" s="4">
        <v>0.25879999999999997</v>
      </c>
      <c r="P274" s="2">
        <v>62930</v>
      </c>
      <c r="Q274" s="2">
        <v>4331.95</v>
      </c>
      <c r="R274" s="2">
        <v>26671.05</v>
      </c>
      <c r="S274" s="2">
        <v>2853.55</v>
      </c>
      <c r="T274" s="2">
        <v>46643.716000000008</v>
      </c>
      <c r="U274" s="2">
        <v>12787.166000000005</v>
      </c>
      <c r="V274" s="5">
        <v>0.27414552476908149</v>
      </c>
    </row>
    <row r="275" spans="1:22" x14ac:dyDescent="0.3">
      <c r="A275">
        <f t="shared" si="4"/>
        <v>274</v>
      </c>
      <c r="B275" t="s">
        <v>359</v>
      </c>
      <c r="C275" s="1">
        <v>45852</v>
      </c>
      <c r="D275" t="s">
        <v>26</v>
      </c>
      <c r="E275" s="6" t="s">
        <v>662</v>
      </c>
      <c r="F275" s="6" t="s">
        <v>66</v>
      </c>
      <c r="G275" s="6" t="s">
        <v>69</v>
      </c>
      <c r="H275" t="s">
        <v>15</v>
      </c>
      <c r="I275" s="6" t="s">
        <v>16</v>
      </c>
      <c r="J275" s="6" t="s">
        <v>24</v>
      </c>
      <c r="K275" s="6" t="s">
        <v>48</v>
      </c>
      <c r="L275" s="6" t="s">
        <v>54</v>
      </c>
      <c r="M275" s="12">
        <v>151</v>
      </c>
      <c r="N275" s="2">
        <v>85.75</v>
      </c>
      <c r="O275" s="4">
        <v>0.10220000000000001</v>
      </c>
      <c r="P275" s="2">
        <v>12948.25</v>
      </c>
      <c r="Q275" s="2">
        <v>1601.95</v>
      </c>
      <c r="R275" s="2">
        <v>8604.4</v>
      </c>
      <c r="S275" s="2">
        <v>899.15000000000009</v>
      </c>
      <c r="T275" s="2">
        <v>11624.938849999999</v>
      </c>
      <c r="U275" s="2">
        <v>519.43884999999932</v>
      </c>
      <c r="V275" s="5">
        <v>4.4683146870918754E-2</v>
      </c>
    </row>
    <row r="276" spans="1:22" x14ac:dyDescent="0.3">
      <c r="A276">
        <f t="shared" si="4"/>
        <v>275</v>
      </c>
      <c r="B276" t="s">
        <v>360</v>
      </c>
      <c r="C276" s="1">
        <v>45683</v>
      </c>
      <c r="D276" t="s">
        <v>44</v>
      </c>
      <c r="E276" s="6" t="s">
        <v>664</v>
      </c>
      <c r="F276" s="6" t="s">
        <v>63</v>
      </c>
      <c r="G276" s="6" t="s">
        <v>68</v>
      </c>
      <c r="H276" t="s">
        <v>27</v>
      </c>
      <c r="I276" s="6" t="s">
        <v>16</v>
      </c>
      <c r="J276" s="6" t="s">
        <v>24</v>
      </c>
      <c r="K276" s="6" t="s">
        <v>33</v>
      </c>
      <c r="L276" s="6" t="s">
        <v>79</v>
      </c>
      <c r="M276" s="12">
        <v>122</v>
      </c>
      <c r="N276" s="2">
        <v>72.449999999999989</v>
      </c>
      <c r="O276" s="4">
        <v>0.1411</v>
      </c>
      <c r="P276" s="2">
        <v>8838.8999999999978</v>
      </c>
      <c r="Q276" s="2">
        <v>975.45</v>
      </c>
      <c r="R276" s="2">
        <v>4782.05</v>
      </c>
      <c r="S276" s="2">
        <v>600.25</v>
      </c>
      <c r="T276" s="2">
        <v>7591.7312099999981</v>
      </c>
      <c r="U276" s="2">
        <v>1233.9812099999979</v>
      </c>
      <c r="V276" s="5">
        <v>0.16254279503133229</v>
      </c>
    </row>
    <row r="277" spans="1:22" x14ac:dyDescent="0.3">
      <c r="A277">
        <f t="shared" si="4"/>
        <v>276</v>
      </c>
      <c r="B277" t="s">
        <v>361</v>
      </c>
      <c r="C277" s="1">
        <v>45768</v>
      </c>
      <c r="D277" t="s">
        <v>61</v>
      </c>
      <c r="E277" s="6" t="s">
        <v>662</v>
      </c>
      <c r="F277" s="6" t="s">
        <v>66</v>
      </c>
      <c r="G277" s="6" t="s">
        <v>39</v>
      </c>
      <c r="H277" t="s">
        <v>27</v>
      </c>
      <c r="I277" s="6" t="s">
        <v>16</v>
      </c>
      <c r="J277" s="6" t="s">
        <v>17</v>
      </c>
      <c r="K277" s="6" t="s">
        <v>46</v>
      </c>
      <c r="L277" s="6" t="s">
        <v>76</v>
      </c>
      <c r="M277" s="12">
        <v>233</v>
      </c>
      <c r="N277" s="2">
        <v>305.55</v>
      </c>
      <c r="O277" s="4">
        <v>0.1678</v>
      </c>
      <c r="P277" s="2">
        <v>71193.150000000009</v>
      </c>
      <c r="Q277" s="2">
        <v>7494.9</v>
      </c>
      <c r="R277" s="2">
        <v>30413.25</v>
      </c>
      <c r="S277" s="2">
        <v>4684.05</v>
      </c>
      <c r="T277" s="2">
        <v>59246.939430000013</v>
      </c>
      <c r="U277" s="2">
        <v>16654.739430000009</v>
      </c>
      <c r="V277" s="5">
        <v>0.28110716925179752</v>
      </c>
    </row>
    <row r="278" spans="1:22" x14ac:dyDescent="0.3">
      <c r="A278">
        <f t="shared" si="4"/>
        <v>277</v>
      </c>
      <c r="B278" t="s">
        <v>362</v>
      </c>
      <c r="C278" s="1">
        <v>45800</v>
      </c>
      <c r="D278" t="s">
        <v>30</v>
      </c>
      <c r="E278" s="6" t="s">
        <v>662</v>
      </c>
      <c r="F278" s="6" t="s">
        <v>66</v>
      </c>
      <c r="G278" s="6" t="s">
        <v>39</v>
      </c>
      <c r="H278" t="s">
        <v>27</v>
      </c>
      <c r="I278" s="6" t="s">
        <v>16</v>
      </c>
      <c r="J278" s="6" t="s">
        <v>32</v>
      </c>
      <c r="K278" s="6" t="s">
        <v>46</v>
      </c>
      <c r="L278" s="6" t="s">
        <v>47</v>
      </c>
      <c r="M278" s="12">
        <v>279</v>
      </c>
      <c r="N278" s="2">
        <v>155.4</v>
      </c>
      <c r="O278" s="4">
        <v>7.0599999999999996E-2</v>
      </c>
      <c r="P278" s="2">
        <v>43356.6</v>
      </c>
      <c r="Q278" s="2">
        <v>3655.05</v>
      </c>
      <c r="R278" s="2">
        <v>23485</v>
      </c>
      <c r="S278" s="2">
        <v>3464.6499999999996</v>
      </c>
      <c r="T278" s="2">
        <v>40295.624040000002</v>
      </c>
      <c r="U278" s="2">
        <v>9690.9240400000017</v>
      </c>
      <c r="V278" s="5">
        <v>0.24049569328868498</v>
      </c>
    </row>
    <row r="279" spans="1:22" x14ac:dyDescent="0.3">
      <c r="A279">
        <f t="shared" si="4"/>
        <v>278</v>
      </c>
      <c r="B279" t="s">
        <v>363</v>
      </c>
      <c r="C279" s="1">
        <v>45679</v>
      </c>
      <c r="D279" t="s">
        <v>44</v>
      </c>
      <c r="E279" s="6" t="s">
        <v>663</v>
      </c>
      <c r="F279" s="6" t="s">
        <v>21</v>
      </c>
      <c r="G279" s="6" t="s">
        <v>64</v>
      </c>
      <c r="H279" t="s">
        <v>27</v>
      </c>
      <c r="I279" s="6" t="s">
        <v>28</v>
      </c>
      <c r="J279" s="6" t="s">
        <v>24</v>
      </c>
      <c r="K279" s="6" t="s">
        <v>33</v>
      </c>
      <c r="L279" s="6" t="s">
        <v>34</v>
      </c>
      <c r="M279" s="12">
        <v>154</v>
      </c>
      <c r="N279" s="2">
        <v>91.7</v>
      </c>
      <c r="O279" s="4">
        <v>0.22800000000000001</v>
      </c>
      <c r="P279" s="2">
        <v>14121.800000000001</v>
      </c>
      <c r="Q279" s="2">
        <v>1103.55</v>
      </c>
      <c r="R279" s="2">
        <v>6731.55</v>
      </c>
      <c r="S279" s="2">
        <v>570.84999999999991</v>
      </c>
      <c r="T279" s="2">
        <v>10902.029600000002</v>
      </c>
      <c r="U279" s="2">
        <v>2496.0796000000009</v>
      </c>
      <c r="V279" s="5">
        <v>0.22895549650681563</v>
      </c>
    </row>
    <row r="280" spans="1:22" x14ac:dyDescent="0.3">
      <c r="A280">
        <f t="shared" si="4"/>
        <v>279</v>
      </c>
      <c r="B280" t="s">
        <v>364</v>
      </c>
      <c r="C280" s="1">
        <v>45706</v>
      </c>
      <c r="D280" t="s">
        <v>55</v>
      </c>
      <c r="E280" s="6" t="s">
        <v>662</v>
      </c>
      <c r="F280" s="6" t="s">
        <v>42</v>
      </c>
      <c r="G280" s="6" t="s">
        <v>43</v>
      </c>
      <c r="H280" t="s">
        <v>27</v>
      </c>
      <c r="I280" s="6" t="s">
        <v>28</v>
      </c>
      <c r="J280" s="6" t="s">
        <v>24</v>
      </c>
      <c r="K280" s="6" t="s">
        <v>46</v>
      </c>
      <c r="L280" s="6" t="s">
        <v>83</v>
      </c>
      <c r="M280" s="12">
        <v>354</v>
      </c>
      <c r="N280" s="2">
        <v>130.20000000000002</v>
      </c>
      <c r="O280" s="4">
        <v>0.1787</v>
      </c>
      <c r="P280" s="2">
        <v>46090.8</v>
      </c>
      <c r="Q280" s="2">
        <v>3047.45</v>
      </c>
      <c r="R280" s="2">
        <v>20302.099999999999</v>
      </c>
      <c r="S280" s="2">
        <v>2633.75</v>
      </c>
      <c r="T280" s="2">
        <v>37854.374040000002</v>
      </c>
      <c r="U280" s="2">
        <v>11871.074040000003</v>
      </c>
      <c r="V280" s="5">
        <v>0.31359847682215175</v>
      </c>
    </row>
    <row r="281" spans="1:22" x14ac:dyDescent="0.3">
      <c r="A281">
        <f t="shared" si="4"/>
        <v>280</v>
      </c>
      <c r="B281" t="s">
        <v>365</v>
      </c>
      <c r="C281" s="1">
        <v>45980</v>
      </c>
      <c r="D281" t="s">
        <v>67</v>
      </c>
      <c r="E281" s="6" t="s">
        <v>664</v>
      </c>
      <c r="F281" s="6" t="s">
        <v>63</v>
      </c>
      <c r="G281" s="6" t="s">
        <v>43</v>
      </c>
      <c r="H281" t="s">
        <v>27</v>
      </c>
      <c r="I281" s="6" t="s">
        <v>31</v>
      </c>
      <c r="J281" s="6" t="s">
        <v>45</v>
      </c>
      <c r="K281" s="6" t="s">
        <v>37</v>
      </c>
      <c r="L281" s="6" t="s">
        <v>38</v>
      </c>
      <c r="M281" s="12">
        <v>740</v>
      </c>
      <c r="N281" s="2">
        <v>80.5</v>
      </c>
      <c r="O281" s="4">
        <v>0.26</v>
      </c>
      <c r="P281" s="2">
        <v>59570</v>
      </c>
      <c r="Q281" s="2">
        <v>4418.75</v>
      </c>
      <c r="R281" s="2">
        <v>23785.65</v>
      </c>
      <c r="S281" s="2">
        <v>1867.6</v>
      </c>
      <c r="T281" s="2">
        <v>44081.8</v>
      </c>
      <c r="U281" s="2">
        <v>14009.800000000003</v>
      </c>
      <c r="V281" s="5">
        <v>0.31781370089243183</v>
      </c>
    </row>
    <row r="282" spans="1:22" x14ac:dyDescent="0.3">
      <c r="A282">
        <f t="shared" si="4"/>
        <v>281</v>
      </c>
      <c r="B282" t="s">
        <v>366</v>
      </c>
      <c r="C282" s="1">
        <v>45754</v>
      </c>
      <c r="D282" t="s">
        <v>61</v>
      </c>
      <c r="E282" s="6" t="s">
        <v>662</v>
      </c>
      <c r="F282" s="6" t="s">
        <v>42</v>
      </c>
      <c r="G282" s="6" t="s">
        <v>69</v>
      </c>
      <c r="H282" t="s">
        <v>15</v>
      </c>
      <c r="I282" s="6" t="s">
        <v>23</v>
      </c>
      <c r="J282" s="6" t="s">
        <v>32</v>
      </c>
      <c r="K282" s="6" t="s">
        <v>37</v>
      </c>
      <c r="L282" s="6" t="s">
        <v>38</v>
      </c>
      <c r="M282" s="12">
        <v>26</v>
      </c>
      <c r="N282" s="2">
        <v>85.75</v>
      </c>
      <c r="O282" s="4">
        <v>7.0999999999999995E-3</v>
      </c>
      <c r="P282" s="2">
        <v>2229.5</v>
      </c>
      <c r="Q282" s="2">
        <v>295.75</v>
      </c>
      <c r="R282" s="2">
        <v>1062.5999999999999</v>
      </c>
      <c r="S282" s="2">
        <v>236.95</v>
      </c>
      <c r="T282" s="2">
        <v>2213.6705499999998</v>
      </c>
      <c r="U282" s="2">
        <v>618.37054999999987</v>
      </c>
      <c r="V282" s="5">
        <v>0.27934172499155302</v>
      </c>
    </row>
    <row r="283" spans="1:22" x14ac:dyDescent="0.3">
      <c r="A283">
        <f t="shared" si="4"/>
        <v>282</v>
      </c>
      <c r="B283" t="s">
        <v>367</v>
      </c>
      <c r="C283" s="1">
        <v>45767</v>
      </c>
      <c r="D283" t="s">
        <v>61</v>
      </c>
      <c r="E283" s="6" t="s">
        <v>663</v>
      </c>
      <c r="F283" s="6" t="s">
        <v>21</v>
      </c>
      <c r="G283" s="6" t="s">
        <v>69</v>
      </c>
      <c r="H283" t="s">
        <v>27</v>
      </c>
      <c r="I283" s="6" t="s">
        <v>28</v>
      </c>
      <c r="J283" s="6" t="s">
        <v>17</v>
      </c>
      <c r="K283" s="6" t="s">
        <v>37</v>
      </c>
      <c r="L283" s="6" t="s">
        <v>75</v>
      </c>
      <c r="M283" s="12">
        <v>522</v>
      </c>
      <c r="N283" s="2">
        <v>126.35</v>
      </c>
      <c r="O283" s="4">
        <v>0.2114</v>
      </c>
      <c r="P283" s="2">
        <v>65954.7</v>
      </c>
      <c r="Q283" s="2">
        <v>5609.4500000000007</v>
      </c>
      <c r="R283" s="2">
        <v>29480.5</v>
      </c>
      <c r="S283" s="2">
        <v>2906.05</v>
      </c>
      <c r="T283" s="2">
        <v>52011.876419999993</v>
      </c>
      <c r="U283" s="2">
        <v>14015.87641999999</v>
      </c>
      <c r="V283" s="5">
        <v>0.26947453898453277</v>
      </c>
    </row>
    <row r="284" spans="1:22" x14ac:dyDescent="0.3">
      <c r="A284">
        <f t="shared" si="4"/>
        <v>283</v>
      </c>
      <c r="B284" t="s">
        <v>368</v>
      </c>
      <c r="C284" s="1">
        <v>45935</v>
      </c>
      <c r="D284" t="s">
        <v>20</v>
      </c>
      <c r="E284" s="6" t="s">
        <v>663</v>
      </c>
      <c r="F284" s="6" t="s">
        <v>21</v>
      </c>
      <c r="G284" s="6" t="s">
        <v>68</v>
      </c>
      <c r="H284" t="s">
        <v>27</v>
      </c>
      <c r="I284" s="6" t="s">
        <v>28</v>
      </c>
      <c r="J284" s="6" t="s">
        <v>32</v>
      </c>
      <c r="K284" s="6" t="s">
        <v>33</v>
      </c>
      <c r="L284" s="6" t="s">
        <v>73</v>
      </c>
      <c r="M284" s="12">
        <v>489</v>
      </c>
      <c r="N284" s="2">
        <v>149.1</v>
      </c>
      <c r="O284" s="4">
        <v>9.7599999999999992E-2</v>
      </c>
      <c r="P284" s="2">
        <v>72909.899999999994</v>
      </c>
      <c r="Q284" s="2">
        <v>4774.7</v>
      </c>
      <c r="R284" s="2">
        <v>37963.800000000003</v>
      </c>
      <c r="S284" s="2">
        <v>3785.25</v>
      </c>
      <c r="T284" s="2">
        <v>65793.893759999992</v>
      </c>
      <c r="U284" s="2">
        <v>19270.143759999988</v>
      </c>
      <c r="V284" s="5">
        <v>0.29288650752747286</v>
      </c>
    </row>
    <row r="285" spans="1:22" x14ac:dyDescent="0.3">
      <c r="A285">
        <f t="shared" si="4"/>
        <v>284</v>
      </c>
      <c r="B285" t="s">
        <v>369</v>
      </c>
      <c r="C285" s="1">
        <v>46009</v>
      </c>
      <c r="D285" t="s">
        <v>50</v>
      </c>
      <c r="E285" s="6" t="s">
        <v>662</v>
      </c>
      <c r="F285" s="6" t="s">
        <v>42</v>
      </c>
      <c r="G285" s="6" t="s">
        <v>68</v>
      </c>
      <c r="H285" t="s">
        <v>15</v>
      </c>
      <c r="I285" s="6" t="s">
        <v>23</v>
      </c>
      <c r="J285" s="6" t="s">
        <v>32</v>
      </c>
      <c r="K285" s="6" t="s">
        <v>18</v>
      </c>
      <c r="L285" s="6" t="s">
        <v>25</v>
      </c>
      <c r="M285" s="12">
        <v>44</v>
      </c>
      <c r="N285" s="2">
        <v>104.3</v>
      </c>
      <c r="O285" s="4">
        <v>1.1599999999999999E-2</v>
      </c>
      <c r="P285" s="2">
        <v>4589.2</v>
      </c>
      <c r="Q285" s="2">
        <v>589.75</v>
      </c>
      <c r="R285" s="2">
        <v>2177.35</v>
      </c>
      <c r="S285" s="2">
        <v>413</v>
      </c>
      <c r="T285" s="2">
        <v>4535.9652799999994</v>
      </c>
      <c r="U285" s="2">
        <v>1355.8652799999995</v>
      </c>
      <c r="V285" s="5">
        <v>0.29891438675209608</v>
      </c>
    </row>
    <row r="286" spans="1:22" x14ac:dyDescent="0.3">
      <c r="A286">
        <f t="shared" si="4"/>
        <v>285</v>
      </c>
      <c r="B286" t="s">
        <v>370</v>
      </c>
      <c r="C286" s="1">
        <v>45853</v>
      </c>
      <c r="D286" t="s">
        <v>26</v>
      </c>
      <c r="E286" s="6" t="s">
        <v>663</v>
      </c>
      <c r="F286" s="6" t="s">
        <v>21</v>
      </c>
      <c r="G286" s="6" t="s">
        <v>39</v>
      </c>
      <c r="H286" t="s">
        <v>27</v>
      </c>
      <c r="I286" s="6" t="s">
        <v>16</v>
      </c>
      <c r="J286" s="6" t="s">
        <v>32</v>
      </c>
      <c r="K286" s="6" t="s">
        <v>46</v>
      </c>
      <c r="L286" s="6" t="s">
        <v>76</v>
      </c>
      <c r="M286" s="12">
        <v>198</v>
      </c>
      <c r="N286" s="2">
        <v>282.45</v>
      </c>
      <c r="O286" s="4">
        <v>0.1032</v>
      </c>
      <c r="P286" s="2">
        <v>55925.1</v>
      </c>
      <c r="Q286" s="2">
        <v>5038.6000000000004</v>
      </c>
      <c r="R286" s="2">
        <v>26191.550000000003</v>
      </c>
      <c r="S286" s="2">
        <v>4547.8999999999996</v>
      </c>
      <c r="T286" s="2">
        <v>50153.629679999998</v>
      </c>
      <c r="U286" s="2">
        <v>14375.579679999993</v>
      </c>
      <c r="V286" s="5">
        <v>0.2866308933515257</v>
      </c>
    </row>
    <row r="287" spans="1:22" x14ac:dyDescent="0.3">
      <c r="A287">
        <f t="shared" si="4"/>
        <v>286</v>
      </c>
      <c r="B287" t="s">
        <v>371</v>
      </c>
      <c r="C287" s="1">
        <v>45996</v>
      </c>
      <c r="D287" t="s">
        <v>50</v>
      </c>
      <c r="E287" s="6" t="s">
        <v>662</v>
      </c>
      <c r="F287" s="6" t="s">
        <v>42</v>
      </c>
      <c r="G287" s="6" t="s">
        <v>68</v>
      </c>
      <c r="H287" t="s">
        <v>27</v>
      </c>
      <c r="I287" s="6" t="s">
        <v>16</v>
      </c>
      <c r="J287" s="6" t="s">
        <v>45</v>
      </c>
      <c r="K287" s="6" t="s">
        <v>18</v>
      </c>
      <c r="L287" s="6" t="s">
        <v>71</v>
      </c>
      <c r="M287" s="12">
        <v>168</v>
      </c>
      <c r="N287" s="2">
        <v>87.85</v>
      </c>
      <c r="O287" s="4">
        <v>0.2369</v>
      </c>
      <c r="P287" s="2">
        <v>14758.8</v>
      </c>
      <c r="Q287" s="2">
        <v>1969.8</v>
      </c>
      <c r="R287" s="2">
        <v>5813.85</v>
      </c>
      <c r="S287" s="2">
        <v>713.65</v>
      </c>
      <c r="T287" s="2">
        <v>11262.440279999999</v>
      </c>
      <c r="U287" s="2">
        <v>2765.1402799999987</v>
      </c>
      <c r="V287" s="5">
        <v>0.2455187518206311</v>
      </c>
    </row>
    <row r="288" spans="1:22" x14ac:dyDescent="0.3">
      <c r="A288">
        <f t="shared" si="4"/>
        <v>287</v>
      </c>
      <c r="B288" t="s">
        <v>372</v>
      </c>
      <c r="C288" s="1">
        <v>45673</v>
      </c>
      <c r="D288" t="s">
        <v>44</v>
      </c>
      <c r="E288" s="6" t="s">
        <v>663</v>
      </c>
      <c r="F288" s="6" t="s">
        <v>21</v>
      </c>
      <c r="G288" s="6" t="s">
        <v>65</v>
      </c>
      <c r="H288" t="s">
        <v>15</v>
      </c>
      <c r="I288" s="6" t="s">
        <v>23</v>
      </c>
      <c r="J288" s="6" t="s">
        <v>84</v>
      </c>
      <c r="K288" s="6" t="s">
        <v>37</v>
      </c>
      <c r="L288" s="6" t="s">
        <v>75</v>
      </c>
      <c r="M288" s="12">
        <v>113</v>
      </c>
      <c r="N288" s="2">
        <v>140.35</v>
      </c>
      <c r="O288" s="4">
        <v>0.1023</v>
      </c>
      <c r="P288" s="2">
        <v>15859.55</v>
      </c>
      <c r="Q288" s="2">
        <v>2663.85</v>
      </c>
      <c r="R288" s="2">
        <v>7775.95</v>
      </c>
      <c r="S288" s="2">
        <v>1474.9</v>
      </c>
      <c r="T288" s="2">
        <v>14237.118034999998</v>
      </c>
      <c r="U288" s="2">
        <v>2322.4180349999983</v>
      </c>
      <c r="V288" s="5">
        <v>0.16312416805779462</v>
      </c>
    </row>
    <row r="289" spans="1:22" x14ac:dyDescent="0.3">
      <c r="A289">
        <f t="shared" si="4"/>
        <v>288</v>
      </c>
      <c r="B289" t="s">
        <v>373</v>
      </c>
      <c r="C289" s="1">
        <v>45740</v>
      </c>
      <c r="D289" t="s">
        <v>41</v>
      </c>
      <c r="E289" s="6" t="s">
        <v>662</v>
      </c>
      <c r="F289" s="6" t="s">
        <v>42</v>
      </c>
      <c r="G289" s="6" t="s">
        <v>22</v>
      </c>
      <c r="H289" t="s">
        <v>27</v>
      </c>
      <c r="I289" s="6" t="s">
        <v>31</v>
      </c>
      <c r="J289" s="6" t="s">
        <v>52</v>
      </c>
      <c r="K289" s="6" t="s">
        <v>37</v>
      </c>
      <c r="L289" s="6" t="s">
        <v>38</v>
      </c>
      <c r="M289" s="12">
        <v>642</v>
      </c>
      <c r="N289" s="2">
        <v>82.25</v>
      </c>
      <c r="O289" s="4">
        <v>0.27690000000000003</v>
      </c>
      <c r="P289" s="2">
        <v>52804.5</v>
      </c>
      <c r="Q289" s="2">
        <v>3904.6</v>
      </c>
      <c r="R289" s="2">
        <v>20897.800000000003</v>
      </c>
      <c r="S289" s="2">
        <v>1692.6</v>
      </c>
      <c r="T289" s="2">
        <v>38182.933949999999</v>
      </c>
      <c r="U289" s="2">
        <v>11687.933949999997</v>
      </c>
      <c r="V289" s="5">
        <v>0.30610361072056896</v>
      </c>
    </row>
    <row r="290" spans="1:22" x14ac:dyDescent="0.3">
      <c r="A290">
        <f t="shared" si="4"/>
        <v>289</v>
      </c>
      <c r="B290" t="s">
        <v>374</v>
      </c>
      <c r="C290" s="1">
        <v>45826</v>
      </c>
      <c r="D290" t="s">
        <v>58</v>
      </c>
      <c r="E290" s="6" t="s">
        <v>664</v>
      </c>
      <c r="F290" s="6" t="s">
        <v>63</v>
      </c>
      <c r="G290" s="6" t="s">
        <v>65</v>
      </c>
      <c r="H290" t="s">
        <v>27</v>
      </c>
      <c r="I290" s="6" t="s">
        <v>28</v>
      </c>
      <c r="J290" s="6" t="s">
        <v>17</v>
      </c>
      <c r="K290" s="6" t="s">
        <v>46</v>
      </c>
      <c r="L290" s="6" t="s">
        <v>81</v>
      </c>
      <c r="M290" s="12">
        <v>182</v>
      </c>
      <c r="N290" s="2">
        <v>160.65</v>
      </c>
      <c r="O290" s="4">
        <v>0.20219999999999999</v>
      </c>
      <c r="P290" s="2">
        <v>29238.3</v>
      </c>
      <c r="Q290" s="2">
        <v>2319.4499999999998</v>
      </c>
      <c r="R290" s="2">
        <v>11781.35</v>
      </c>
      <c r="S290" s="2">
        <v>1515.8500000000001</v>
      </c>
      <c r="T290" s="2">
        <v>23326.315740000002</v>
      </c>
      <c r="U290" s="2">
        <v>7709.6657400000031</v>
      </c>
      <c r="V290" s="5">
        <v>0.33051364930208232</v>
      </c>
    </row>
    <row r="291" spans="1:22" x14ac:dyDescent="0.3">
      <c r="A291">
        <f t="shared" si="4"/>
        <v>290</v>
      </c>
      <c r="B291" t="s">
        <v>375</v>
      </c>
      <c r="C291" s="1">
        <v>45731</v>
      </c>
      <c r="D291" t="s">
        <v>41</v>
      </c>
      <c r="E291" s="6" t="s">
        <v>662</v>
      </c>
      <c r="F291" s="6" t="s">
        <v>66</v>
      </c>
      <c r="G291" s="6" t="s">
        <v>43</v>
      </c>
      <c r="H291" t="s">
        <v>27</v>
      </c>
      <c r="I291" s="6" t="s">
        <v>28</v>
      </c>
      <c r="J291" s="6" t="s">
        <v>24</v>
      </c>
      <c r="K291" s="6" t="s">
        <v>18</v>
      </c>
      <c r="L291" s="6" t="s">
        <v>29</v>
      </c>
      <c r="M291" s="12">
        <v>511</v>
      </c>
      <c r="N291" s="2">
        <v>155.75</v>
      </c>
      <c r="O291" s="4">
        <v>0.20010000000000003</v>
      </c>
      <c r="P291" s="2">
        <v>79588.25</v>
      </c>
      <c r="Q291" s="2">
        <v>5322.8</v>
      </c>
      <c r="R291" s="2">
        <v>35146.299999999996</v>
      </c>
      <c r="S291" s="2">
        <v>3512.25</v>
      </c>
      <c r="T291" s="2">
        <v>63662.641174999997</v>
      </c>
      <c r="U291" s="2">
        <v>19681.291175000002</v>
      </c>
      <c r="V291" s="5">
        <v>0.30914977468337818</v>
      </c>
    </row>
    <row r="292" spans="1:22" x14ac:dyDescent="0.3">
      <c r="A292">
        <f t="shared" si="4"/>
        <v>291</v>
      </c>
      <c r="B292" t="s">
        <v>376</v>
      </c>
      <c r="C292" s="1">
        <v>45743</v>
      </c>
      <c r="D292" t="s">
        <v>41</v>
      </c>
      <c r="E292" s="6" t="s">
        <v>662</v>
      </c>
      <c r="F292" s="6" t="s">
        <v>66</v>
      </c>
      <c r="G292" s="6" t="s">
        <v>64</v>
      </c>
      <c r="H292" t="s">
        <v>15</v>
      </c>
      <c r="I292" s="6" t="s">
        <v>16</v>
      </c>
      <c r="J292" s="6" t="s">
        <v>32</v>
      </c>
      <c r="K292" s="6" t="s">
        <v>48</v>
      </c>
      <c r="L292" s="6" t="s">
        <v>54</v>
      </c>
      <c r="M292" s="12">
        <v>46</v>
      </c>
      <c r="N292" s="2">
        <v>81.55</v>
      </c>
      <c r="O292" s="4">
        <v>7.6600000000000001E-2</v>
      </c>
      <c r="P292" s="2">
        <v>3751.2999999999997</v>
      </c>
      <c r="Q292" s="2">
        <v>376.59999999999997</v>
      </c>
      <c r="R292" s="2">
        <v>2467.8500000000004</v>
      </c>
      <c r="S292" s="2">
        <v>306.59999999999997</v>
      </c>
      <c r="T292" s="2">
        <v>3463.9504199999997</v>
      </c>
      <c r="U292" s="2">
        <v>312.90041999999943</v>
      </c>
      <c r="V292" s="5">
        <v>9.0330513448861505E-2</v>
      </c>
    </row>
    <row r="293" spans="1:22" x14ac:dyDescent="0.3">
      <c r="A293">
        <f t="shared" si="4"/>
        <v>292</v>
      </c>
      <c r="B293" t="s">
        <v>377</v>
      </c>
      <c r="C293" s="1">
        <v>45945</v>
      </c>
      <c r="D293" t="s">
        <v>20</v>
      </c>
      <c r="E293" s="6" t="s">
        <v>663</v>
      </c>
      <c r="F293" s="6" t="s">
        <v>21</v>
      </c>
      <c r="G293" s="6" t="s">
        <v>65</v>
      </c>
      <c r="H293" t="s">
        <v>15</v>
      </c>
      <c r="I293" s="6" t="s">
        <v>28</v>
      </c>
      <c r="J293" s="6" t="s">
        <v>24</v>
      </c>
      <c r="K293" s="6" t="s">
        <v>48</v>
      </c>
      <c r="L293" s="6" t="s">
        <v>74</v>
      </c>
      <c r="M293" s="12">
        <v>454</v>
      </c>
      <c r="N293" s="2">
        <v>135.79999999999998</v>
      </c>
      <c r="O293" s="4">
        <v>0.18390000000000001</v>
      </c>
      <c r="P293" s="2">
        <v>61653.19999999999</v>
      </c>
      <c r="Q293" s="2">
        <v>5288.1500000000005</v>
      </c>
      <c r="R293" s="2">
        <v>35847.35</v>
      </c>
      <c r="S293" s="2">
        <v>3329.2000000000003</v>
      </c>
      <c r="T293" s="2">
        <v>50315.176519999994</v>
      </c>
      <c r="U293" s="2">
        <v>5850.4765199999974</v>
      </c>
      <c r="V293" s="5">
        <v>0.11627657745917808</v>
      </c>
    </row>
    <row r="294" spans="1:22" x14ac:dyDescent="0.3">
      <c r="A294">
        <f t="shared" si="4"/>
        <v>293</v>
      </c>
      <c r="B294" t="s">
        <v>378</v>
      </c>
      <c r="C294" s="1">
        <v>45699</v>
      </c>
      <c r="D294" t="s">
        <v>55</v>
      </c>
      <c r="E294" s="6" t="s">
        <v>664</v>
      </c>
      <c r="F294" s="6" t="s">
        <v>63</v>
      </c>
      <c r="G294" s="6" t="s">
        <v>39</v>
      </c>
      <c r="H294" t="s">
        <v>15</v>
      </c>
      <c r="I294" s="6" t="s">
        <v>16</v>
      </c>
      <c r="J294" s="6" t="s">
        <v>32</v>
      </c>
      <c r="K294" s="6" t="s">
        <v>48</v>
      </c>
      <c r="L294" s="6" t="s">
        <v>74</v>
      </c>
      <c r="M294" s="12">
        <v>81</v>
      </c>
      <c r="N294" s="2">
        <v>155.75</v>
      </c>
      <c r="O294" s="4">
        <v>3.7000000000000005E-2</v>
      </c>
      <c r="P294" s="2">
        <v>12615.75</v>
      </c>
      <c r="Q294" s="2">
        <v>3944.5</v>
      </c>
      <c r="R294" s="2">
        <v>8076.9500000000007</v>
      </c>
      <c r="S294" s="2">
        <v>1030.75</v>
      </c>
      <c r="T294" s="2">
        <v>12148.96725</v>
      </c>
      <c r="U294" s="2">
        <v>-903.23275000000103</v>
      </c>
      <c r="V294" s="5">
        <v>-7.4346463482317895E-2</v>
      </c>
    </row>
    <row r="295" spans="1:22" x14ac:dyDescent="0.3">
      <c r="A295">
        <f t="shared" si="4"/>
        <v>294</v>
      </c>
      <c r="B295" t="s">
        <v>379</v>
      </c>
      <c r="C295" s="1">
        <v>46015</v>
      </c>
      <c r="D295" t="s">
        <v>50</v>
      </c>
      <c r="E295" s="6" t="s">
        <v>662</v>
      </c>
      <c r="F295" s="6" t="s">
        <v>42</v>
      </c>
      <c r="G295" s="6" t="s">
        <v>69</v>
      </c>
      <c r="H295" t="s">
        <v>15</v>
      </c>
      <c r="I295" s="6" t="s">
        <v>23</v>
      </c>
      <c r="J295" s="6" t="s">
        <v>52</v>
      </c>
      <c r="K295" s="6" t="s">
        <v>18</v>
      </c>
      <c r="L295" s="6" t="s">
        <v>59</v>
      </c>
      <c r="M295" s="12">
        <v>12</v>
      </c>
      <c r="N295" s="2">
        <v>227.5</v>
      </c>
      <c r="O295" s="4">
        <v>0.16879999999999998</v>
      </c>
      <c r="P295" s="2">
        <v>2730</v>
      </c>
      <c r="Q295" s="2">
        <v>409.85</v>
      </c>
      <c r="R295" s="2">
        <v>1246.3499999999999</v>
      </c>
      <c r="S295" s="2">
        <v>230.65</v>
      </c>
      <c r="T295" s="2">
        <v>2269.1759999999999</v>
      </c>
      <c r="U295" s="2">
        <v>382.32599999999991</v>
      </c>
      <c r="V295" s="5">
        <v>0.16848671059450651</v>
      </c>
    </row>
    <row r="296" spans="1:22" x14ac:dyDescent="0.3">
      <c r="A296">
        <f t="shared" si="4"/>
        <v>295</v>
      </c>
      <c r="B296" t="s">
        <v>380</v>
      </c>
      <c r="C296" s="1">
        <v>45819</v>
      </c>
      <c r="D296" t="s">
        <v>58</v>
      </c>
      <c r="E296" s="6" t="s">
        <v>664</v>
      </c>
      <c r="F296" s="6" t="s">
        <v>63</v>
      </c>
      <c r="G296" s="6" t="s">
        <v>68</v>
      </c>
      <c r="H296" t="s">
        <v>27</v>
      </c>
      <c r="I296" s="6" t="s">
        <v>16</v>
      </c>
      <c r="J296" s="6" t="s">
        <v>52</v>
      </c>
      <c r="K296" s="6" t="s">
        <v>37</v>
      </c>
      <c r="L296" s="6" t="s">
        <v>38</v>
      </c>
      <c r="M296" s="12">
        <v>158</v>
      </c>
      <c r="N296" s="2">
        <v>84.7</v>
      </c>
      <c r="O296" s="4">
        <v>0.19089999999999999</v>
      </c>
      <c r="P296" s="2">
        <v>13382.6</v>
      </c>
      <c r="Q296" s="2">
        <v>1469.3</v>
      </c>
      <c r="R296" s="2">
        <v>5692.05</v>
      </c>
      <c r="S296" s="2">
        <v>780.84999999999991</v>
      </c>
      <c r="T296" s="2">
        <v>10827.86166</v>
      </c>
      <c r="U296" s="2">
        <v>2885.6616599999998</v>
      </c>
      <c r="V296" s="5">
        <v>0.2665033734832552</v>
      </c>
    </row>
    <row r="297" spans="1:22" x14ac:dyDescent="0.3">
      <c r="A297">
        <f t="shared" si="4"/>
        <v>296</v>
      </c>
      <c r="B297" t="s">
        <v>381</v>
      </c>
      <c r="C297" s="1">
        <v>45985</v>
      </c>
      <c r="D297" t="s">
        <v>67</v>
      </c>
      <c r="E297" s="6" t="s">
        <v>662</v>
      </c>
      <c r="F297" s="6" t="s">
        <v>66</v>
      </c>
      <c r="G297" s="6" t="s">
        <v>22</v>
      </c>
      <c r="H297" t="s">
        <v>27</v>
      </c>
      <c r="I297" s="6" t="s">
        <v>28</v>
      </c>
      <c r="J297" s="6" t="s">
        <v>32</v>
      </c>
      <c r="K297" s="6" t="s">
        <v>46</v>
      </c>
      <c r="L297" s="6" t="s">
        <v>51</v>
      </c>
      <c r="M297" s="12">
        <v>268</v>
      </c>
      <c r="N297" s="2">
        <v>132.65</v>
      </c>
      <c r="O297" s="4">
        <v>0.12609999999999999</v>
      </c>
      <c r="P297" s="2">
        <v>35550.200000000004</v>
      </c>
      <c r="Q297" s="2">
        <v>1451.8</v>
      </c>
      <c r="R297" s="2">
        <v>14912.449999999999</v>
      </c>
      <c r="S297" s="2">
        <v>2150.0500000000002</v>
      </c>
      <c r="T297" s="2">
        <v>31067.319780000005</v>
      </c>
      <c r="U297" s="2">
        <v>12553.019780000008</v>
      </c>
      <c r="V297" s="5">
        <v>0.40405866579070587</v>
      </c>
    </row>
    <row r="298" spans="1:22" x14ac:dyDescent="0.3">
      <c r="A298">
        <f t="shared" si="4"/>
        <v>297</v>
      </c>
      <c r="B298" t="s">
        <v>382</v>
      </c>
      <c r="C298" s="1">
        <v>45816</v>
      </c>
      <c r="D298" t="s">
        <v>58</v>
      </c>
      <c r="E298" s="6" t="s">
        <v>662</v>
      </c>
      <c r="F298" s="6" t="s">
        <v>66</v>
      </c>
      <c r="G298" s="6" t="s">
        <v>68</v>
      </c>
      <c r="H298" t="s">
        <v>15</v>
      </c>
      <c r="I298" s="6" t="s">
        <v>16</v>
      </c>
      <c r="J298" s="6" t="s">
        <v>52</v>
      </c>
      <c r="K298" s="6" t="s">
        <v>48</v>
      </c>
      <c r="L298" s="6" t="s">
        <v>57</v>
      </c>
      <c r="M298" s="12">
        <v>175</v>
      </c>
      <c r="N298" s="2">
        <v>80.850000000000009</v>
      </c>
      <c r="O298" s="4">
        <v>0.1249</v>
      </c>
      <c r="P298" s="2">
        <v>14148.750000000002</v>
      </c>
      <c r="Q298" s="2">
        <v>1809.1499999999999</v>
      </c>
      <c r="R298" s="2">
        <v>8665.3000000000011</v>
      </c>
      <c r="S298" s="2">
        <v>1009.4</v>
      </c>
      <c r="T298" s="2">
        <v>12381.571125000002</v>
      </c>
      <c r="U298" s="2">
        <v>897.72112500000162</v>
      </c>
      <c r="V298" s="5">
        <v>7.2504621258233204E-2</v>
      </c>
    </row>
    <row r="299" spans="1:22" x14ac:dyDescent="0.3">
      <c r="A299">
        <f t="shared" si="4"/>
        <v>298</v>
      </c>
      <c r="B299" t="s">
        <v>383</v>
      </c>
      <c r="C299" s="1">
        <v>45968</v>
      </c>
      <c r="D299" t="s">
        <v>67</v>
      </c>
      <c r="E299" s="6" t="s">
        <v>662</v>
      </c>
      <c r="F299" s="6" t="s">
        <v>42</v>
      </c>
      <c r="G299" s="6" t="s">
        <v>65</v>
      </c>
      <c r="H299" t="s">
        <v>27</v>
      </c>
      <c r="I299" s="6" t="s">
        <v>31</v>
      </c>
      <c r="J299" s="6" t="s">
        <v>84</v>
      </c>
      <c r="K299" s="6" t="s">
        <v>18</v>
      </c>
      <c r="L299" s="6" t="s">
        <v>25</v>
      </c>
      <c r="M299" s="12">
        <v>241</v>
      </c>
      <c r="N299" s="2">
        <v>94.149999999999991</v>
      </c>
      <c r="O299" s="4">
        <v>0.25109999999999999</v>
      </c>
      <c r="P299" s="2">
        <v>22690.149999999998</v>
      </c>
      <c r="Q299" s="2">
        <v>1905.75</v>
      </c>
      <c r="R299" s="2">
        <v>8156.4</v>
      </c>
      <c r="S299" s="2">
        <v>829.15000000000009</v>
      </c>
      <c r="T299" s="2">
        <v>16992.653334999999</v>
      </c>
      <c r="U299" s="2">
        <v>6101.3533349999998</v>
      </c>
      <c r="V299" s="5">
        <v>0.35905830682916123</v>
      </c>
    </row>
    <row r="300" spans="1:22" x14ac:dyDescent="0.3">
      <c r="A300">
        <f t="shared" si="4"/>
        <v>299</v>
      </c>
      <c r="B300" t="s">
        <v>384</v>
      </c>
      <c r="C300" s="1">
        <v>45699</v>
      </c>
      <c r="D300" t="s">
        <v>55</v>
      </c>
      <c r="E300" s="6" t="s">
        <v>663</v>
      </c>
      <c r="F300" s="6" t="s">
        <v>21</v>
      </c>
      <c r="G300" s="6" t="s">
        <v>22</v>
      </c>
      <c r="H300" t="s">
        <v>27</v>
      </c>
      <c r="I300" s="6" t="s">
        <v>31</v>
      </c>
      <c r="J300" s="6" t="s">
        <v>32</v>
      </c>
      <c r="K300" s="6" t="s">
        <v>33</v>
      </c>
      <c r="L300" s="6" t="s">
        <v>34</v>
      </c>
      <c r="M300" s="12">
        <v>465</v>
      </c>
      <c r="N300" s="2">
        <v>93.45</v>
      </c>
      <c r="O300" s="4">
        <v>0.1643</v>
      </c>
      <c r="P300" s="2">
        <v>43454.25</v>
      </c>
      <c r="Q300" s="2">
        <v>1806.6999999999998</v>
      </c>
      <c r="R300" s="2">
        <v>22109.15</v>
      </c>
      <c r="S300" s="2">
        <v>1557.5</v>
      </c>
      <c r="T300" s="2">
        <v>36314.716724999998</v>
      </c>
      <c r="U300" s="2">
        <v>10841.366724999996</v>
      </c>
      <c r="V300" s="5">
        <v>0.29853920676562834</v>
      </c>
    </row>
    <row r="301" spans="1:22" x14ac:dyDescent="0.3">
      <c r="A301">
        <f t="shared" si="4"/>
        <v>300</v>
      </c>
      <c r="B301" t="s">
        <v>385</v>
      </c>
      <c r="C301" s="1">
        <v>45721</v>
      </c>
      <c r="D301" t="s">
        <v>41</v>
      </c>
      <c r="E301" s="6" t="s">
        <v>663</v>
      </c>
      <c r="F301" s="6" t="s">
        <v>21</v>
      </c>
      <c r="G301" s="6" t="s">
        <v>68</v>
      </c>
      <c r="H301" t="s">
        <v>27</v>
      </c>
      <c r="I301" s="6" t="s">
        <v>28</v>
      </c>
      <c r="J301" s="6" t="s">
        <v>32</v>
      </c>
      <c r="K301" s="6" t="s">
        <v>48</v>
      </c>
      <c r="L301" s="6" t="s">
        <v>56</v>
      </c>
      <c r="M301" s="12">
        <v>181</v>
      </c>
      <c r="N301" s="2">
        <v>113.05</v>
      </c>
      <c r="O301" s="4">
        <v>0.10920000000000001</v>
      </c>
      <c r="P301" s="2">
        <v>20462.05</v>
      </c>
      <c r="Q301" s="2">
        <v>1136.45</v>
      </c>
      <c r="R301" s="2">
        <v>10613.4</v>
      </c>
      <c r="S301" s="2">
        <v>1303.05</v>
      </c>
      <c r="T301" s="2">
        <v>18227.594140000001</v>
      </c>
      <c r="U301" s="2">
        <v>5174.6941400000023</v>
      </c>
      <c r="V301" s="5">
        <v>0.28389342555330793</v>
      </c>
    </row>
    <row r="302" spans="1:22" x14ac:dyDescent="0.3">
      <c r="A302">
        <f t="shared" si="4"/>
        <v>301</v>
      </c>
      <c r="B302" t="s">
        <v>386</v>
      </c>
      <c r="C302" s="1">
        <v>45835</v>
      </c>
      <c r="D302" t="s">
        <v>58</v>
      </c>
      <c r="E302" s="6" t="s">
        <v>662</v>
      </c>
      <c r="F302" s="6" t="s">
        <v>42</v>
      </c>
      <c r="G302" s="6" t="s">
        <v>68</v>
      </c>
      <c r="H302" t="s">
        <v>27</v>
      </c>
      <c r="I302" s="6" t="s">
        <v>16</v>
      </c>
      <c r="J302" s="6" t="s">
        <v>84</v>
      </c>
      <c r="K302" s="6" t="s">
        <v>37</v>
      </c>
      <c r="L302" s="6" t="s">
        <v>38</v>
      </c>
      <c r="M302" s="12">
        <v>183</v>
      </c>
      <c r="N302" s="2">
        <v>73.149999999999991</v>
      </c>
      <c r="O302" s="4">
        <v>0.1502</v>
      </c>
      <c r="P302" s="2">
        <v>13386.449999999999</v>
      </c>
      <c r="Q302" s="2">
        <v>3747.45</v>
      </c>
      <c r="R302" s="2">
        <v>5776.75</v>
      </c>
      <c r="S302" s="2">
        <v>776.65000000000009</v>
      </c>
      <c r="T302" s="2">
        <v>11375.805209999999</v>
      </c>
      <c r="U302" s="2">
        <v>1074.9552099999992</v>
      </c>
      <c r="V302" s="5">
        <v>9.4494867849446884E-2</v>
      </c>
    </row>
    <row r="303" spans="1:22" x14ac:dyDescent="0.3">
      <c r="A303">
        <f t="shared" si="4"/>
        <v>302</v>
      </c>
      <c r="B303" t="s">
        <v>387</v>
      </c>
      <c r="C303" s="1">
        <v>45681</v>
      </c>
      <c r="D303" t="s">
        <v>44</v>
      </c>
      <c r="E303" s="6" t="s">
        <v>663</v>
      </c>
      <c r="F303" s="6" t="s">
        <v>21</v>
      </c>
      <c r="G303" s="6" t="s">
        <v>39</v>
      </c>
      <c r="H303" t="s">
        <v>27</v>
      </c>
      <c r="I303" s="6" t="s">
        <v>16</v>
      </c>
      <c r="J303" s="6" t="s">
        <v>84</v>
      </c>
      <c r="K303" s="6" t="s">
        <v>33</v>
      </c>
      <c r="L303" s="6" t="s">
        <v>78</v>
      </c>
      <c r="M303" s="12">
        <v>185</v>
      </c>
      <c r="N303" s="2">
        <v>91</v>
      </c>
      <c r="O303" s="4">
        <v>0.1852</v>
      </c>
      <c r="P303" s="2">
        <v>16835</v>
      </c>
      <c r="Q303" s="2">
        <v>2485.3500000000004</v>
      </c>
      <c r="R303" s="2">
        <v>8669.5</v>
      </c>
      <c r="S303" s="2">
        <v>972.65</v>
      </c>
      <c r="T303" s="2">
        <v>13717.157999999999</v>
      </c>
      <c r="U303" s="2">
        <v>1589.6579999999994</v>
      </c>
      <c r="V303" s="5">
        <v>0.11588829114602307</v>
      </c>
    </row>
    <row r="304" spans="1:22" x14ac:dyDescent="0.3">
      <c r="A304">
        <f t="shared" si="4"/>
        <v>303</v>
      </c>
      <c r="B304" t="s">
        <v>388</v>
      </c>
      <c r="C304" s="1">
        <v>45664</v>
      </c>
      <c r="D304" t="s">
        <v>44</v>
      </c>
      <c r="E304" s="6" t="s">
        <v>664</v>
      </c>
      <c r="F304" s="6" t="s">
        <v>63</v>
      </c>
      <c r="G304" s="6" t="s">
        <v>22</v>
      </c>
      <c r="H304" t="s">
        <v>15</v>
      </c>
      <c r="I304" s="6" t="s">
        <v>23</v>
      </c>
      <c r="J304" s="6" t="s">
        <v>36</v>
      </c>
      <c r="K304" s="6" t="s">
        <v>48</v>
      </c>
      <c r="L304" s="6" t="s">
        <v>49</v>
      </c>
      <c r="M304" s="12">
        <v>97</v>
      </c>
      <c r="N304" s="2">
        <v>123.55</v>
      </c>
      <c r="O304" s="4">
        <v>0.12429999999999999</v>
      </c>
      <c r="P304" s="2">
        <v>11984.35</v>
      </c>
      <c r="Q304" s="2">
        <v>1464.75</v>
      </c>
      <c r="R304" s="2">
        <v>6527.8499999999995</v>
      </c>
      <c r="S304" s="2">
        <v>1158.5</v>
      </c>
      <c r="T304" s="2">
        <v>10494.695295000001</v>
      </c>
      <c r="U304" s="2">
        <v>1343.5952950000019</v>
      </c>
      <c r="V304" s="5">
        <v>0.12802613675121491</v>
      </c>
    </row>
    <row r="305" spans="1:22" x14ac:dyDescent="0.3">
      <c r="A305">
        <f t="shared" si="4"/>
        <v>304</v>
      </c>
      <c r="B305" t="s">
        <v>389</v>
      </c>
      <c r="C305" s="1">
        <v>45906</v>
      </c>
      <c r="D305" t="s">
        <v>14</v>
      </c>
      <c r="E305" s="6" t="s">
        <v>662</v>
      </c>
      <c r="F305" s="6" t="s">
        <v>66</v>
      </c>
      <c r="G305" s="6" t="s">
        <v>69</v>
      </c>
      <c r="H305" t="s">
        <v>15</v>
      </c>
      <c r="I305" s="6" t="s">
        <v>23</v>
      </c>
      <c r="J305" s="6" t="s">
        <v>17</v>
      </c>
      <c r="K305" s="6" t="s">
        <v>46</v>
      </c>
      <c r="L305" s="6" t="s">
        <v>83</v>
      </c>
      <c r="M305" s="12">
        <v>33</v>
      </c>
      <c r="N305" s="2">
        <v>135.1</v>
      </c>
      <c r="O305" s="4">
        <v>0.12710000000000002</v>
      </c>
      <c r="P305" s="2">
        <v>4458.3</v>
      </c>
      <c r="Q305" s="2">
        <v>611.1</v>
      </c>
      <c r="R305" s="2">
        <v>2114.7000000000003</v>
      </c>
      <c r="S305" s="2">
        <v>464.09999999999997</v>
      </c>
      <c r="T305" s="2">
        <v>3891.6500700000001</v>
      </c>
      <c r="U305" s="2">
        <v>701.75006999999994</v>
      </c>
      <c r="V305" s="5">
        <v>0.18032198614404196</v>
      </c>
    </row>
    <row r="306" spans="1:22" x14ac:dyDescent="0.3">
      <c r="A306">
        <f t="shared" si="4"/>
        <v>305</v>
      </c>
      <c r="B306" t="s">
        <v>390</v>
      </c>
      <c r="C306" s="1">
        <v>45828</v>
      </c>
      <c r="D306" t="s">
        <v>58</v>
      </c>
      <c r="E306" s="6" t="s">
        <v>663</v>
      </c>
      <c r="F306" s="6" t="s">
        <v>21</v>
      </c>
      <c r="G306" s="6" t="s">
        <v>82</v>
      </c>
      <c r="H306" t="s">
        <v>27</v>
      </c>
      <c r="I306" s="6" t="s">
        <v>16</v>
      </c>
      <c r="J306" s="6" t="s">
        <v>45</v>
      </c>
      <c r="K306" s="6" t="s">
        <v>48</v>
      </c>
      <c r="L306" s="6" t="s">
        <v>57</v>
      </c>
      <c r="M306" s="12">
        <v>70</v>
      </c>
      <c r="N306" s="2">
        <v>89.600000000000009</v>
      </c>
      <c r="O306" s="4">
        <v>0.18049999999999999</v>
      </c>
      <c r="P306" s="2">
        <v>6272.0000000000009</v>
      </c>
      <c r="Q306" s="2">
        <v>1002.05</v>
      </c>
      <c r="R306" s="2">
        <v>3894.8</v>
      </c>
      <c r="S306" s="2">
        <v>381.5</v>
      </c>
      <c r="T306" s="2">
        <v>5139.9040000000005</v>
      </c>
      <c r="U306" s="2">
        <v>-138.44599999999969</v>
      </c>
      <c r="V306" s="5">
        <v>-2.693552253116005E-2</v>
      </c>
    </row>
    <row r="307" spans="1:22" x14ac:dyDescent="0.3">
      <c r="A307">
        <f t="shared" si="4"/>
        <v>306</v>
      </c>
      <c r="B307" t="s">
        <v>391</v>
      </c>
      <c r="C307" s="1">
        <v>45780</v>
      </c>
      <c r="D307" t="s">
        <v>30</v>
      </c>
      <c r="E307" s="6" t="s">
        <v>662</v>
      </c>
      <c r="F307" s="6" t="s">
        <v>42</v>
      </c>
      <c r="G307" s="6" t="s">
        <v>43</v>
      </c>
      <c r="H307" t="s">
        <v>15</v>
      </c>
      <c r="I307" s="6" t="s">
        <v>16</v>
      </c>
      <c r="J307" s="6" t="s">
        <v>52</v>
      </c>
      <c r="K307" s="6" t="s">
        <v>48</v>
      </c>
      <c r="L307" s="6" t="s">
        <v>54</v>
      </c>
      <c r="M307" s="12">
        <v>70</v>
      </c>
      <c r="N307" s="2">
        <v>84.350000000000009</v>
      </c>
      <c r="O307" s="4">
        <v>0.14400000000000002</v>
      </c>
      <c r="P307" s="2">
        <v>5904.5000000000009</v>
      </c>
      <c r="Q307" s="2">
        <v>889.7</v>
      </c>
      <c r="R307" s="2">
        <v>3739.0499999999997</v>
      </c>
      <c r="S307" s="2">
        <v>378</v>
      </c>
      <c r="T307" s="2">
        <v>5054.2520000000004</v>
      </c>
      <c r="U307" s="2">
        <v>47.502000000000635</v>
      </c>
      <c r="V307" s="5">
        <v>9.3984233473124474E-3</v>
      </c>
    </row>
    <row r="308" spans="1:22" x14ac:dyDescent="0.3">
      <c r="A308">
        <f t="shared" si="4"/>
        <v>307</v>
      </c>
      <c r="B308" t="s">
        <v>392</v>
      </c>
      <c r="C308" s="1">
        <v>45697</v>
      </c>
      <c r="D308" t="s">
        <v>55</v>
      </c>
      <c r="E308" s="6" t="s">
        <v>662</v>
      </c>
      <c r="F308" s="6" t="s">
        <v>66</v>
      </c>
      <c r="G308" s="6" t="s">
        <v>39</v>
      </c>
      <c r="H308" t="s">
        <v>27</v>
      </c>
      <c r="I308" s="6" t="s">
        <v>28</v>
      </c>
      <c r="J308" s="6" t="s">
        <v>24</v>
      </c>
      <c r="K308" s="6" t="s">
        <v>18</v>
      </c>
      <c r="L308" s="6" t="s">
        <v>80</v>
      </c>
      <c r="M308" s="12">
        <v>331</v>
      </c>
      <c r="N308" s="2">
        <v>79.8</v>
      </c>
      <c r="O308" s="4">
        <v>0.1661</v>
      </c>
      <c r="P308" s="2">
        <v>26413.8</v>
      </c>
      <c r="Q308" s="2">
        <v>2256.8000000000002</v>
      </c>
      <c r="R308" s="2">
        <v>10572.8</v>
      </c>
      <c r="S308" s="2">
        <v>1193.8499999999999</v>
      </c>
      <c r="T308" s="2">
        <v>22026.467819999998</v>
      </c>
      <c r="U308" s="2">
        <v>8003.01782</v>
      </c>
      <c r="V308" s="5">
        <v>0.3633364135094449</v>
      </c>
    </row>
    <row r="309" spans="1:22" x14ac:dyDescent="0.3">
      <c r="A309">
        <f t="shared" si="4"/>
        <v>308</v>
      </c>
      <c r="B309" t="s">
        <v>393</v>
      </c>
      <c r="C309" s="1">
        <v>45992</v>
      </c>
      <c r="D309" t="s">
        <v>50</v>
      </c>
      <c r="E309" s="6" t="s">
        <v>663</v>
      </c>
      <c r="F309" s="6" t="s">
        <v>21</v>
      </c>
      <c r="G309" s="6" t="s">
        <v>39</v>
      </c>
      <c r="H309" t="s">
        <v>27</v>
      </c>
      <c r="I309" s="6" t="s">
        <v>28</v>
      </c>
      <c r="J309" s="6" t="s">
        <v>24</v>
      </c>
      <c r="K309" s="6" t="s">
        <v>18</v>
      </c>
      <c r="L309" s="6" t="s">
        <v>29</v>
      </c>
      <c r="M309" s="12">
        <v>314</v>
      </c>
      <c r="N309" s="2">
        <v>167.65</v>
      </c>
      <c r="O309" s="4">
        <v>0.20480000000000001</v>
      </c>
      <c r="P309" s="2">
        <v>52642.1</v>
      </c>
      <c r="Q309" s="2">
        <v>3601.85</v>
      </c>
      <c r="R309" s="2">
        <v>23464.699999999997</v>
      </c>
      <c r="S309" s="2">
        <v>2079.35</v>
      </c>
      <c r="T309" s="2">
        <v>41860.997920000002</v>
      </c>
      <c r="U309" s="2">
        <v>12715.097920000006</v>
      </c>
      <c r="V309" s="5">
        <v>0.30374569532001272</v>
      </c>
    </row>
    <row r="310" spans="1:22" x14ac:dyDescent="0.3">
      <c r="A310">
        <f t="shared" si="4"/>
        <v>309</v>
      </c>
      <c r="B310" t="s">
        <v>394</v>
      </c>
      <c r="C310" s="1">
        <v>45795</v>
      </c>
      <c r="D310" t="s">
        <v>30</v>
      </c>
      <c r="E310" s="6" t="s">
        <v>662</v>
      </c>
      <c r="F310" s="6" t="s">
        <v>66</v>
      </c>
      <c r="G310" s="6" t="s">
        <v>22</v>
      </c>
      <c r="H310" t="s">
        <v>15</v>
      </c>
      <c r="I310" s="6" t="s">
        <v>23</v>
      </c>
      <c r="J310" s="6" t="s">
        <v>36</v>
      </c>
      <c r="K310" s="6" t="s">
        <v>48</v>
      </c>
      <c r="L310" s="6" t="s">
        <v>49</v>
      </c>
      <c r="M310" s="12">
        <v>8</v>
      </c>
      <c r="N310" s="2">
        <v>105.7</v>
      </c>
      <c r="O310" s="4">
        <v>5.9699999999999996E-2</v>
      </c>
      <c r="P310" s="2">
        <v>845.6</v>
      </c>
      <c r="Q310" s="2">
        <v>101.85000000000001</v>
      </c>
      <c r="R310" s="2">
        <v>445.90000000000003</v>
      </c>
      <c r="S310" s="2">
        <v>93.800000000000011</v>
      </c>
      <c r="T310" s="2">
        <v>795.11768000000006</v>
      </c>
      <c r="U310" s="2">
        <v>153.56768000000005</v>
      </c>
      <c r="V310" s="5">
        <v>0.19313830375398022</v>
      </c>
    </row>
    <row r="311" spans="1:22" x14ac:dyDescent="0.3">
      <c r="A311">
        <f t="shared" si="4"/>
        <v>310</v>
      </c>
      <c r="B311" t="s">
        <v>395</v>
      </c>
      <c r="C311" s="1">
        <v>45818</v>
      </c>
      <c r="D311" t="s">
        <v>58</v>
      </c>
      <c r="E311" s="6" t="s">
        <v>664</v>
      </c>
      <c r="F311" s="6" t="s">
        <v>63</v>
      </c>
      <c r="G311" s="6" t="s">
        <v>43</v>
      </c>
      <c r="H311" t="s">
        <v>15</v>
      </c>
      <c r="I311" s="6" t="s">
        <v>23</v>
      </c>
      <c r="J311" s="6" t="s">
        <v>84</v>
      </c>
      <c r="K311" s="6" t="s">
        <v>48</v>
      </c>
      <c r="L311" s="6" t="s">
        <v>54</v>
      </c>
      <c r="M311" s="12">
        <v>80</v>
      </c>
      <c r="N311" s="2">
        <v>91.35</v>
      </c>
      <c r="O311" s="4">
        <v>0.13089999999999999</v>
      </c>
      <c r="P311" s="2">
        <v>7308</v>
      </c>
      <c r="Q311" s="2">
        <v>2964.15</v>
      </c>
      <c r="R311" s="2">
        <v>4754.05</v>
      </c>
      <c r="S311" s="2">
        <v>658.34999999999991</v>
      </c>
      <c r="T311" s="2">
        <v>6351.3828000000003</v>
      </c>
      <c r="U311" s="2">
        <v>-2025.1671999999994</v>
      </c>
      <c r="V311" s="5">
        <v>-0.31885453353559468</v>
      </c>
    </row>
    <row r="312" spans="1:22" x14ac:dyDescent="0.3">
      <c r="A312">
        <f t="shared" si="4"/>
        <v>311</v>
      </c>
      <c r="B312" t="s">
        <v>396</v>
      </c>
      <c r="C312" s="1">
        <v>45749</v>
      </c>
      <c r="D312" t="s">
        <v>61</v>
      </c>
      <c r="E312" s="6" t="s">
        <v>662</v>
      </c>
      <c r="F312" s="6" t="s">
        <v>42</v>
      </c>
      <c r="G312" s="6" t="s">
        <v>69</v>
      </c>
      <c r="H312" t="s">
        <v>27</v>
      </c>
      <c r="I312" s="6" t="s">
        <v>31</v>
      </c>
      <c r="J312" s="6" t="s">
        <v>17</v>
      </c>
      <c r="K312" s="6" t="s">
        <v>18</v>
      </c>
      <c r="L312" s="6" t="s">
        <v>29</v>
      </c>
      <c r="M312" s="12">
        <v>358</v>
      </c>
      <c r="N312" s="2">
        <v>154.69999999999999</v>
      </c>
      <c r="O312" s="4">
        <v>0.18940000000000001</v>
      </c>
      <c r="P312" s="2">
        <v>55382.6</v>
      </c>
      <c r="Q312" s="2">
        <v>2735.9500000000003</v>
      </c>
      <c r="R312" s="2">
        <v>24930.85</v>
      </c>
      <c r="S312" s="2">
        <v>1878.8</v>
      </c>
      <c r="T312" s="2">
        <v>44893.135559999995</v>
      </c>
      <c r="U312" s="2">
        <v>15347.535559999993</v>
      </c>
      <c r="V312" s="5">
        <v>0.34186820253372374</v>
      </c>
    </row>
    <row r="313" spans="1:22" x14ac:dyDescent="0.3">
      <c r="A313">
        <f t="shared" si="4"/>
        <v>312</v>
      </c>
      <c r="B313" t="s">
        <v>397</v>
      </c>
      <c r="C313" s="1">
        <v>45885</v>
      </c>
      <c r="D313" t="s">
        <v>35</v>
      </c>
      <c r="E313" s="6" t="s">
        <v>662</v>
      </c>
      <c r="F313" s="6" t="s">
        <v>42</v>
      </c>
      <c r="G313" s="6" t="s">
        <v>65</v>
      </c>
      <c r="H313" t="s">
        <v>27</v>
      </c>
      <c r="I313" s="6" t="s">
        <v>16</v>
      </c>
      <c r="J313" s="6" t="s">
        <v>17</v>
      </c>
      <c r="K313" s="6" t="s">
        <v>46</v>
      </c>
      <c r="L313" s="6" t="s">
        <v>47</v>
      </c>
      <c r="M313" s="12">
        <v>185</v>
      </c>
      <c r="N313" s="2">
        <v>185.15</v>
      </c>
      <c r="O313" s="4">
        <v>0.15429999999999999</v>
      </c>
      <c r="P313" s="2">
        <v>34252.75</v>
      </c>
      <c r="Q313" s="2">
        <v>3075.1</v>
      </c>
      <c r="R313" s="2">
        <v>17399.899999999998</v>
      </c>
      <c r="S313" s="2">
        <v>2357.9500000000003</v>
      </c>
      <c r="T313" s="2">
        <v>28967.550674999999</v>
      </c>
      <c r="U313" s="2">
        <v>6134.6006749999997</v>
      </c>
      <c r="V313" s="5">
        <v>0.21177491821199687</v>
      </c>
    </row>
    <row r="314" spans="1:22" x14ac:dyDescent="0.3">
      <c r="A314">
        <f t="shared" si="4"/>
        <v>313</v>
      </c>
      <c r="B314" t="s">
        <v>398</v>
      </c>
      <c r="C314" s="1">
        <v>45891</v>
      </c>
      <c r="D314" t="s">
        <v>35</v>
      </c>
      <c r="E314" s="6" t="s">
        <v>664</v>
      </c>
      <c r="F314" s="6" t="s">
        <v>63</v>
      </c>
      <c r="G314" s="6" t="s">
        <v>22</v>
      </c>
      <c r="H314" t="s">
        <v>15</v>
      </c>
      <c r="I314" s="6" t="s">
        <v>23</v>
      </c>
      <c r="J314" s="6" t="s">
        <v>24</v>
      </c>
      <c r="K314" s="6" t="s">
        <v>18</v>
      </c>
      <c r="L314" s="6" t="s">
        <v>19</v>
      </c>
      <c r="M314" s="12">
        <v>95</v>
      </c>
      <c r="N314" s="2">
        <v>191.1</v>
      </c>
      <c r="O314" s="4">
        <v>0.13650000000000001</v>
      </c>
      <c r="P314" s="2">
        <v>18154.5</v>
      </c>
      <c r="Q314" s="2">
        <v>2733.5</v>
      </c>
      <c r="R314" s="2">
        <v>9043.2999999999993</v>
      </c>
      <c r="S314" s="2">
        <v>1604.75</v>
      </c>
      <c r="T314" s="2">
        <v>15676.410749999999</v>
      </c>
      <c r="U314" s="2">
        <v>2294.8607499999998</v>
      </c>
      <c r="V314" s="5">
        <v>0.14638942463280377</v>
      </c>
    </row>
    <row r="315" spans="1:22" x14ac:dyDescent="0.3">
      <c r="A315">
        <f t="shared" si="4"/>
        <v>314</v>
      </c>
      <c r="B315" t="s">
        <v>399</v>
      </c>
      <c r="C315" s="1">
        <v>45774</v>
      </c>
      <c r="D315" t="s">
        <v>61</v>
      </c>
      <c r="E315" s="6" t="s">
        <v>664</v>
      </c>
      <c r="F315" s="6" t="s">
        <v>63</v>
      </c>
      <c r="G315" s="6" t="s">
        <v>22</v>
      </c>
      <c r="H315" t="s">
        <v>27</v>
      </c>
      <c r="I315" s="6" t="s">
        <v>28</v>
      </c>
      <c r="J315" s="6" t="s">
        <v>32</v>
      </c>
      <c r="K315" s="6" t="s">
        <v>48</v>
      </c>
      <c r="L315" s="6" t="s">
        <v>57</v>
      </c>
      <c r="M315" s="12">
        <v>277</v>
      </c>
      <c r="N315" s="2">
        <v>78.05</v>
      </c>
      <c r="O315" s="4">
        <v>0.15039999999999998</v>
      </c>
      <c r="P315" s="2">
        <v>21619.85</v>
      </c>
      <c r="Q315" s="2">
        <v>1484.7</v>
      </c>
      <c r="R315" s="2">
        <v>13991.25</v>
      </c>
      <c r="S315" s="2">
        <v>1276.8</v>
      </c>
      <c r="T315" s="2">
        <v>18368.224559999999</v>
      </c>
      <c r="U315" s="2">
        <v>1615.4745599999994</v>
      </c>
      <c r="V315" s="5">
        <v>8.7949412569681668E-2</v>
      </c>
    </row>
    <row r="316" spans="1:22" x14ac:dyDescent="0.3">
      <c r="A316">
        <f t="shared" si="4"/>
        <v>315</v>
      </c>
      <c r="B316" t="s">
        <v>400</v>
      </c>
      <c r="C316" s="1">
        <v>45690</v>
      </c>
      <c r="D316" t="s">
        <v>55</v>
      </c>
      <c r="E316" s="6" t="s">
        <v>662</v>
      </c>
      <c r="F316" s="6" t="s">
        <v>66</v>
      </c>
      <c r="G316" s="6" t="s">
        <v>68</v>
      </c>
      <c r="H316" t="s">
        <v>15</v>
      </c>
      <c r="I316" s="6" t="s">
        <v>23</v>
      </c>
      <c r="J316" s="6" t="s">
        <v>36</v>
      </c>
      <c r="K316" s="6" t="s">
        <v>18</v>
      </c>
      <c r="L316" s="6" t="s">
        <v>29</v>
      </c>
      <c r="M316" s="12">
        <v>64</v>
      </c>
      <c r="N316" s="2">
        <v>175.35</v>
      </c>
      <c r="O316" s="4">
        <v>4.1799999999999997E-2</v>
      </c>
      <c r="P316" s="2">
        <v>11222.4</v>
      </c>
      <c r="Q316" s="2">
        <v>1287.3</v>
      </c>
      <c r="R316" s="2">
        <v>6464.85</v>
      </c>
      <c r="S316" s="2">
        <v>1125.95</v>
      </c>
      <c r="T316" s="2">
        <v>10753.303680000001</v>
      </c>
      <c r="U316" s="2">
        <v>1875.2036799999998</v>
      </c>
      <c r="V316" s="5">
        <v>0.17438396011150312</v>
      </c>
    </row>
    <row r="317" spans="1:22" x14ac:dyDescent="0.3">
      <c r="A317">
        <f t="shared" si="4"/>
        <v>316</v>
      </c>
      <c r="B317" t="s">
        <v>401</v>
      </c>
      <c r="C317" s="1">
        <v>46004</v>
      </c>
      <c r="D317" t="s">
        <v>50</v>
      </c>
      <c r="E317" s="6" t="s">
        <v>662</v>
      </c>
      <c r="F317" s="6" t="s">
        <v>42</v>
      </c>
      <c r="G317" s="6" t="s">
        <v>39</v>
      </c>
      <c r="H317" t="s">
        <v>15</v>
      </c>
      <c r="I317" s="6" t="s">
        <v>23</v>
      </c>
      <c r="J317" s="6" t="s">
        <v>17</v>
      </c>
      <c r="K317" s="6" t="s">
        <v>46</v>
      </c>
      <c r="L317" s="6" t="s">
        <v>81</v>
      </c>
      <c r="M317" s="12">
        <v>68</v>
      </c>
      <c r="N317" s="2">
        <v>159.95000000000002</v>
      </c>
      <c r="O317" s="4">
        <v>6.6400000000000001E-2</v>
      </c>
      <c r="P317" s="2">
        <v>10876.6</v>
      </c>
      <c r="Q317" s="2">
        <v>1878.8</v>
      </c>
      <c r="R317" s="2">
        <v>5374.25</v>
      </c>
      <c r="S317" s="2">
        <v>1128.75</v>
      </c>
      <c r="T317" s="2">
        <v>10154.393760000001</v>
      </c>
      <c r="U317" s="2">
        <v>1772.5937600000009</v>
      </c>
      <c r="V317" s="5">
        <v>0.17456421347206066</v>
      </c>
    </row>
    <row r="318" spans="1:22" x14ac:dyDescent="0.3">
      <c r="A318">
        <f t="shared" si="4"/>
        <v>317</v>
      </c>
      <c r="B318" t="s">
        <v>402</v>
      </c>
      <c r="C318" s="1">
        <v>45825</v>
      </c>
      <c r="D318" t="s">
        <v>58</v>
      </c>
      <c r="E318" s="6" t="s">
        <v>663</v>
      </c>
      <c r="F318" s="6" t="s">
        <v>21</v>
      </c>
      <c r="G318" s="6" t="s">
        <v>65</v>
      </c>
      <c r="H318" t="s">
        <v>15</v>
      </c>
      <c r="I318" s="6" t="s">
        <v>16</v>
      </c>
      <c r="J318" s="6" t="s">
        <v>32</v>
      </c>
      <c r="K318" s="6" t="s">
        <v>37</v>
      </c>
      <c r="L318" s="6" t="s">
        <v>75</v>
      </c>
      <c r="M318" s="12">
        <v>94</v>
      </c>
      <c r="N318" s="2">
        <v>127.05</v>
      </c>
      <c r="O318" s="4">
        <v>7.7199999999999991E-2</v>
      </c>
      <c r="P318" s="2">
        <v>11942.699999999999</v>
      </c>
      <c r="Q318" s="2">
        <v>1193.5</v>
      </c>
      <c r="R318" s="2">
        <v>6368.25</v>
      </c>
      <c r="S318" s="2">
        <v>838.25</v>
      </c>
      <c r="T318" s="2">
        <v>11020.72356</v>
      </c>
      <c r="U318" s="2">
        <v>2620.7235600000004</v>
      </c>
      <c r="V318" s="5">
        <v>0.23779959144533702</v>
      </c>
    </row>
    <row r="319" spans="1:22" x14ac:dyDescent="0.3">
      <c r="A319">
        <f t="shared" si="4"/>
        <v>318</v>
      </c>
      <c r="B319" t="s">
        <v>403</v>
      </c>
      <c r="C319" s="1">
        <v>45879</v>
      </c>
      <c r="D319" t="s">
        <v>35</v>
      </c>
      <c r="E319" s="6" t="s">
        <v>664</v>
      </c>
      <c r="F319" s="6" t="s">
        <v>63</v>
      </c>
      <c r="G319" s="6" t="s">
        <v>43</v>
      </c>
      <c r="H319" t="s">
        <v>27</v>
      </c>
      <c r="I319" s="6" t="s">
        <v>16</v>
      </c>
      <c r="J319" s="6" t="s">
        <v>32</v>
      </c>
      <c r="K319" s="6" t="s">
        <v>18</v>
      </c>
      <c r="L319" s="6" t="s">
        <v>29</v>
      </c>
      <c r="M319" s="12">
        <v>104</v>
      </c>
      <c r="N319" s="2">
        <v>170.45000000000002</v>
      </c>
      <c r="O319" s="4">
        <v>7.9100000000000004E-2</v>
      </c>
      <c r="P319" s="2">
        <v>17726.800000000003</v>
      </c>
      <c r="Q319" s="2">
        <v>3182.2000000000003</v>
      </c>
      <c r="R319" s="2">
        <v>9324.7000000000007</v>
      </c>
      <c r="S319" s="2">
        <v>1133.3000000000002</v>
      </c>
      <c r="T319" s="2">
        <v>16324.610120000003</v>
      </c>
      <c r="U319" s="2">
        <v>2684.4101200000009</v>
      </c>
      <c r="V319" s="5">
        <v>0.16443946288868555</v>
      </c>
    </row>
    <row r="320" spans="1:22" x14ac:dyDescent="0.3">
      <c r="A320">
        <f t="shared" si="4"/>
        <v>319</v>
      </c>
      <c r="B320" t="s">
        <v>404</v>
      </c>
      <c r="C320" s="1">
        <v>45921</v>
      </c>
      <c r="D320" t="s">
        <v>14</v>
      </c>
      <c r="E320" s="6" t="s">
        <v>662</v>
      </c>
      <c r="F320" s="6" t="s">
        <v>42</v>
      </c>
      <c r="G320" s="6" t="s">
        <v>69</v>
      </c>
      <c r="H320" t="s">
        <v>27</v>
      </c>
      <c r="I320" s="6" t="s">
        <v>16</v>
      </c>
      <c r="J320" s="6" t="s">
        <v>36</v>
      </c>
      <c r="K320" s="6" t="s">
        <v>18</v>
      </c>
      <c r="L320" s="6" t="s">
        <v>80</v>
      </c>
      <c r="M320" s="12">
        <v>217</v>
      </c>
      <c r="N320" s="2">
        <v>83.3</v>
      </c>
      <c r="O320" s="4">
        <v>0.16329999999999997</v>
      </c>
      <c r="P320" s="2">
        <v>18076.099999999999</v>
      </c>
      <c r="Q320" s="2">
        <v>3858.75</v>
      </c>
      <c r="R320" s="2">
        <v>7459.2</v>
      </c>
      <c r="S320" s="2">
        <v>1054.9000000000001</v>
      </c>
      <c r="T320" s="2">
        <v>15124.272869999999</v>
      </c>
      <c r="U320" s="2">
        <v>2751.4228699999994</v>
      </c>
      <c r="V320" s="5">
        <v>0.18192100166730193</v>
      </c>
    </row>
    <row r="321" spans="1:22" x14ac:dyDescent="0.3">
      <c r="A321">
        <f t="shared" si="4"/>
        <v>320</v>
      </c>
      <c r="B321" t="s">
        <v>405</v>
      </c>
      <c r="C321" s="1">
        <v>45729</v>
      </c>
      <c r="D321" t="s">
        <v>41</v>
      </c>
      <c r="E321" s="6" t="s">
        <v>662</v>
      </c>
      <c r="F321" s="6" t="s">
        <v>42</v>
      </c>
      <c r="G321" s="6" t="s">
        <v>68</v>
      </c>
      <c r="H321" t="s">
        <v>27</v>
      </c>
      <c r="I321" s="6" t="s">
        <v>28</v>
      </c>
      <c r="J321" s="6" t="s">
        <v>32</v>
      </c>
      <c r="K321" s="6" t="s">
        <v>46</v>
      </c>
      <c r="L321" s="6" t="s">
        <v>83</v>
      </c>
      <c r="M321" s="12">
        <v>197</v>
      </c>
      <c r="N321" s="2">
        <v>136.5</v>
      </c>
      <c r="O321" s="4">
        <v>0.12990000000000002</v>
      </c>
      <c r="P321" s="2">
        <v>26890.5</v>
      </c>
      <c r="Q321" s="2">
        <v>1114.05</v>
      </c>
      <c r="R321" s="2">
        <v>13367.550000000001</v>
      </c>
      <c r="S321" s="2">
        <v>1379.35</v>
      </c>
      <c r="T321" s="2">
        <v>23397.424049999998</v>
      </c>
      <c r="U321" s="2">
        <v>7536.474049999998</v>
      </c>
      <c r="V321" s="5">
        <v>0.3221069992104536</v>
      </c>
    </row>
    <row r="322" spans="1:22" x14ac:dyDescent="0.3">
      <c r="A322">
        <f t="shared" ref="A322:A385" si="5">ROW(B321)</f>
        <v>321</v>
      </c>
      <c r="B322" t="s">
        <v>406</v>
      </c>
      <c r="C322" s="1">
        <v>45900</v>
      </c>
      <c r="D322" t="s">
        <v>35</v>
      </c>
      <c r="E322" s="6" t="s">
        <v>664</v>
      </c>
      <c r="F322" s="6" t="s">
        <v>63</v>
      </c>
      <c r="G322" s="6" t="s">
        <v>64</v>
      </c>
      <c r="H322" t="s">
        <v>15</v>
      </c>
      <c r="I322" s="6" t="s">
        <v>23</v>
      </c>
      <c r="J322" s="6" t="s">
        <v>32</v>
      </c>
      <c r="K322" s="6" t="s">
        <v>48</v>
      </c>
      <c r="L322" s="6" t="s">
        <v>54</v>
      </c>
      <c r="M322" s="12">
        <v>45</v>
      </c>
      <c r="N322" s="2">
        <v>85.050000000000011</v>
      </c>
      <c r="O322" s="4">
        <v>7.4999999999999997E-2</v>
      </c>
      <c r="P322" s="2">
        <v>3827.2500000000005</v>
      </c>
      <c r="Q322" s="2">
        <v>618.1</v>
      </c>
      <c r="R322" s="2">
        <v>2614.15</v>
      </c>
      <c r="S322" s="2">
        <v>406.34999999999997</v>
      </c>
      <c r="T322" s="2">
        <v>3540.2062500000006</v>
      </c>
      <c r="U322" s="2">
        <v>-98.393749999999386</v>
      </c>
      <c r="V322" s="5">
        <v>-2.7793225324089343E-2</v>
      </c>
    </row>
    <row r="323" spans="1:22" x14ac:dyDescent="0.3">
      <c r="A323">
        <f t="shared" si="5"/>
        <v>322</v>
      </c>
      <c r="B323" t="s">
        <v>407</v>
      </c>
      <c r="C323" s="1">
        <v>45736</v>
      </c>
      <c r="D323" t="s">
        <v>41</v>
      </c>
      <c r="E323" s="6" t="s">
        <v>662</v>
      </c>
      <c r="F323" s="6" t="s">
        <v>42</v>
      </c>
      <c r="G323" s="6" t="s">
        <v>65</v>
      </c>
      <c r="H323" t="s">
        <v>27</v>
      </c>
      <c r="I323" s="6" t="s">
        <v>16</v>
      </c>
      <c r="J323" s="6" t="s">
        <v>32</v>
      </c>
      <c r="K323" s="6" t="s">
        <v>46</v>
      </c>
      <c r="L323" s="6" t="s">
        <v>81</v>
      </c>
      <c r="M323" s="12">
        <v>156</v>
      </c>
      <c r="N323" s="2">
        <v>158.19999999999999</v>
      </c>
      <c r="O323" s="4">
        <v>0.10220000000000001</v>
      </c>
      <c r="P323" s="2">
        <v>24679.199999999997</v>
      </c>
      <c r="Q323" s="2">
        <v>2000.25</v>
      </c>
      <c r="R323" s="2">
        <v>12012</v>
      </c>
      <c r="S323" s="2">
        <v>1775.2</v>
      </c>
      <c r="T323" s="2">
        <v>22156.985759999996</v>
      </c>
      <c r="U323" s="2">
        <v>6369.5357599999952</v>
      </c>
      <c r="V323" s="5">
        <v>0.2874730267462155</v>
      </c>
    </row>
    <row r="324" spans="1:22" x14ac:dyDescent="0.3">
      <c r="A324">
        <f t="shared" si="5"/>
        <v>323</v>
      </c>
      <c r="B324" t="s">
        <v>408</v>
      </c>
      <c r="C324" s="1">
        <v>45972</v>
      </c>
      <c r="D324" t="s">
        <v>67</v>
      </c>
      <c r="E324" s="6" t="s">
        <v>664</v>
      </c>
      <c r="F324" s="6" t="s">
        <v>63</v>
      </c>
      <c r="G324" s="6" t="s">
        <v>82</v>
      </c>
      <c r="H324" t="s">
        <v>27</v>
      </c>
      <c r="I324" s="6" t="s">
        <v>28</v>
      </c>
      <c r="J324" s="6" t="s">
        <v>32</v>
      </c>
      <c r="K324" s="6" t="s">
        <v>37</v>
      </c>
      <c r="L324" s="6" t="s">
        <v>90</v>
      </c>
      <c r="M324" s="12">
        <v>303</v>
      </c>
      <c r="N324" s="2">
        <v>145.25</v>
      </c>
      <c r="O324" s="4">
        <v>8.6999999999999994E-2</v>
      </c>
      <c r="P324" s="2">
        <v>44010.75</v>
      </c>
      <c r="Q324" s="2">
        <v>1869.7</v>
      </c>
      <c r="R324" s="2">
        <v>20696.900000000001</v>
      </c>
      <c r="S324" s="2">
        <v>2081.7999999999997</v>
      </c>
      <c r="T324" s="2">
        <v>40181.814750000005</v>
      </c>
      <c r="U324" s="2">
        <v>15533.41475</v>
      </c>
      <c r="V324" s="5">
        <v>0.38657822815232601</v>
      </c>
    </row>
    <row r="325" spans="1:22" x14ac:dyDescent="0.3">
      <c r="A325">
        <f t="shared" si="5"/>
        <v>324</v>
      </c>
      <c r="B325" t="s">
        <v>409</v>
      </c>
      <c r="C325" s="1">
        <v>46018</v>
      </c>
      <c r="D325" t="s">
        <v>50</v>
      </c>
      <c r="E325" s="6" t="s">
        <v>664</v>
      </c>
      <c r="F325" s="6" t="s">
        <v>63</v>
      </c>
      <c r="G325" s="6" t="s">
        <v>65</v>
      </c>
      <c r="H325" t="s">
        <v>15</v>
      </c>
      <c r="I325" s="6" t="s">
        <v>23</v>
      </c>
      <c r="J325" s="6" t="s">
        <v>32</v>
      </c>
      <c r="K325" s="6" t="s">
        <v>18</v>
      </c>
      <c r="L325" s="6" t="s">
        <v>80</v>
      </c>
      <c r="M325" s="12">
        <v>67</v>
      </c>
      <c r="N325" s="2">
        <v>83.3</v>
      </c>
      <c r="O325" s="4">
        <v>6.6500000000000004E-2</v>
      </c>
      <c r="P325" s="2">
        <v>5581.0999999999995</v>
      </c>
      <c r="Q325" s="2">
        <v>658</v>
      </c>
      <c r="R325" s="2">
        <v>2500.75</v>
      </c>
      <c r="S325" s="2">
        <v>528.5</v>
      </c>
      <c r="T325" s="2">
        <v>5209.9568499999996</v>
      </c>
      <c r="U325" s="2">
        <v>1522.7068499999996</v>
      </c>
      <c r="V325" s="5">
        <v>0.29226861063158321</v>
      </c>
    </row>
    <row r="326" spans="1:22" x14ac:dyDescent="0.3">
      <c r="A326">
        <f t="shared" si="5"/>
        <v>325</v>
      </c>
      <c r="B326" t="s">
        <v>410</v>
      </c>
      <c r="C326" s="1">
        <v>45973</v>
      </c>
      <c r="D326" t="s">
        <v>67</v>
      </c>
      <c r="E326" s="6" t="s">
        <v>663</v>
      </c>
      <c r="F326" s="6" t="s">
        <v>21</v>
      </c>
      <c r="G326" s="6" t="s">
        <v>64</v>
      </c>
      <c r="H326" t="s">
        <v>27</v>
      </c>
      <c r="I326" s="6" t="s">
        <v>16</v>
      </c>
      <c r="J326" s="6" t="s">
        <v>32</v>
      </c>
      <c r="K326" s="6" t="s">
        <v>48</v>
      </c>
      <c r="L326" s="6" t="s">
        <v>62</v>
      </c>
      <c r="M326" s="12">
        <v>208</v>
      </c>
      <c r="N326" s="2">
        <v>240.79999999999998</v>
      </c>
      <c r="O326" s="4">
        <v>0.11109999999999999</v>
      </c>
      <c r="P326" s="2">
        <v>50086.399999999994</v>
      </c>
      <c r="Q326" s="2">
        <v>5339.6</v>
      </c>
      <c r="R326" s="2">
        <v>31916.85</v>
      </c>
      <c r="S326" s="2">
        <v>3459.4</v>
      </c>
      <c r="T326" s="2">
        <v>44521.800959999993</v>
      </c>
      <c r="U326" s="2">
        <v>3805.9509599999928</v>
      </c>
      <c r="V326" s="5">
        <v>8.5485107923181231E-2</v>
      </c>
    </row>
    <row r="327" spans="1:22" x14ac:dyDescent="0.3">
      <c r="A327">
        <f t="shared" si="5"/>
        <v>326</v>
      </c>
      <c r="B327" t="s">
        <v>411</v>
      </c>
      <c r="C327" s="1">
        <v>45864</v>
      </c>
      <c r="D327" t="s">
        <v>26</v>
      </c>
      <c r="E327" s="6" t="s">
        <v>664</v>
      </c>
      <c r="F327" s="6" t="s">
        <v>63</v>
      </c>
      <c r="G327" s="6" t="s">
        <v>68</v>
      </c>
      <c r="H327" t="s">
        <v>27</v>
      </c>
      <c r="I327" s="6" t="s">
        <v>28</v>
      </c>
      <c r="J327" s="6" t="s">
        <v>24</v>
      </c>
      <c r="K327" s="6" t="s">
        <v>37</v>
      </c>
      <c r="L327" s="6" t="s">
        <v>38</v>
      </c>
      <c r="M327" s="12">
        <v>356</v>
      </c>
      <c r="N327" s="2">
        <v>81.55</v>
      </c>
      <c r="O327" s="4">
        <v>0.18909999999999999</v>
      </c>
      <c r="P327" s="2">
        <v>29031.8</v>
      </c>
      <c r="Q327" s="2">
        <v>2122.4</v>
      </c>
      <c r="R327" s="2">
        <v>12318.25</v>
      </c>
      <c r="S327" s="2">
        <v>1185.0999999999999</v>
      </c>
      <c r="T327" s="2">
        <v>23541.886619999997</v>
      </c>
      <c r="U327" s="2">
        <v>7916.1366199999993</v>
      </c>
      <c r="V327" s="5">
        <v>0.33625752887939109</v>
      </c>
    </row>
    <row r="328" spans="1:22" x14ac:dyDescent="0.3">
      <c r="A328">
        <f t="shared" si="5"/>
        <v>327</v>
      </c>
      <c r="B328" t="s">
        <v>412</v>
      </c>
      <c r="C328" s="1">
        <v>45676</v>
      </c>
      <c r="D328" t="s">
        <v>44</v>
      </c>
      <c r="E328" s="6" t="s">
        <v>662</v>
      </c>
      <c r="F328" s="6" t="s">
        <v>66</v>
      </c>
      <c r="G328" s="6" t="s">
        <v>69</v>
      </c>
      <c r="H328" t="s">
        <v>15</v>
      </c>
      <c r="I328" s="6" t="s">
        <v>23</v>
      </c>
      <c r="J328" s="6" t="s">
        <v>36</v>
      </c>
      <c r="K328" s="6" t="s">
        <v>37</v>
      </c>
      <c r="L328" s="6" t="s">
        <v>60</v>
      </c>
      <c r="M328" s="12">
        <v>59</v>
      </c>
      <c r="N328" s="2">
        <v>174.3</v>
      </c>
      <c r="O328" s="4">
        <v>7.1800000000000003E-2</v>
      </c>
      <c r="P328" s="2">
        <v>10283.700000000001</v>
      </c>
      <c r="Q328" s="2">
        <v>1085.7</v>
      </c>
      <c r="R328" s="2">
        <v>6043.0999999999995</v>
      </c>
      <c r="S328" s="2">
        <v>984.2</v>
      </c>
      <c r="T328" s="2">
        <v>9545.3303400000004</v>
      </c>
      <c r="U328" s="2">
        <v>1432.3303400000002</v>
      </c>
      <c r="V328" s="5">
        <v>0.15005560719022745</v>
      </c>
    </row>
    <row r="329" spans="1:22" x14ac:dyDescent="0.3">
      <c r="A329">
        <f t="shared" si="5"/>
        <v>328</v>
      </c>
      <c r="B329" t="s">
        <v>413</v>
      </c>
      <c r="C329" s="1">
        <v>45999</v>
      </c>
      <c r="D329" t="s">
        <v>50</v>
      </c>
      <c r="E329" s="6" t="s">
        <v>662</v>
      </c>
      <c r="F329" s="6" t="s">
        <v>66</v>
      </c>
      <c r="G329" s="6" t="s">
        <v>39</v>
      </c>
      <c r="H329" t="s">
        <v>27</v>
      </c>
      <c r="I329" s="6" t="s">
        <v>16</v>
      </c>
      <c r="J329" s="6" t="s">
        <v>32</v>
      </c>
      <c r="K329" s="6" t="s">
        <v>33</v>
      </c>
      <c r="L329" s="6" t="s">
        <v>78</v>
      </c>
      <c r="M329" s="12">
        <v>96</v>
      </c>
      <c r="N329" s="2">
        <v>87.15</v>
      </c>
      <c r="O329" s="4">
        <v>0.13970000000000002</v>
      </c>
      <c r="P329" s="2">
        <v>8366.4000000000015</v>
      </c>
      <c r="Q329" s="2">
        <v>733.25</v>
      </c>
      <c r="R329" s="2">
        <v>4085.55</v>
      </c>
      <c r="S329" s="2">
        <v>558.95000000000005</v>
      </c>
      <c r="T329" s="2">
        <v>7197.6139200000007</v>
      </c>
      <c r="U329" s="2">
        <v>1819.8639200000007</v>
      </c>
      <c r="V329" s="5">
        <v>0.25284266983856235</v>
      </c>
    </row>
    <row r="330" spans="1:22" x14ac:dyDescent="0.3">
      <c r="A330">
        <f t="shared" si="5"/>
        <v>329</v>
      </c>
      <c r="B330" t="s">
        <v>414</v>
      </c>
      <c r="C330" s="1">
        <v>45694</v>
      </c>
      <c r="D330" t="s">
        <v>55</v>
      </c>
      <c r="E330" s="6" t="s">
        <v>664</v>
      </c>
      <c r="F330" s="6" t="s">
        <v>63</v>
      </c>
      <c r="G330" s="6" t="s">
        <v>43</v>
      </c>
      <c r="H330" t="s">
        <v>15</v>
      </c>
      <c r="I330" s="6" t="s">
        <v>16</v>
      </c>
      <c r="J330" s="6" t="s">
        <v>24</v>
      </c>
      <c r="K330" s="6" t="s">
        <v>37</v>
      </c>
      <c r="L330" s="6" t="s">
        <v>60</v>
      </c>
      <c r="M330" s="12">
        <v>74</v>
      </c>
      <c r="N330" s="2">
        <v>165.55</v>
      </c>
      <c r="O330" s="4">
        <v>0.1225</v>
      </c>
      <c r="P330" s="2">
        <v>12250.7</v>
      </c>
      <c r="Q330" s="2">
        <v>1211.3499999999999</v>
      </c>
      <c r="R330" s="2">
        <v>6651.75</v>
      </c>
      <c r="S330" s="2">
        <v>828.1</v>
      </c>
      <c r="T330" s="2">
        <v>10749.989250000001</v>
      </c>
      <c r="U330" s="2">
        <v>2058.7892500000003</v>
      </c>
      <c r="V330" s="5">
        <v>0.19151547058523805</v>
      </c>
    </row>
    <row r="331" spans="1:22" x14ac:dyDescent="0.3">
      <c r="A331">
        <f t="shared" si="5"/>
        <v>330</v>
      </c>
      <c r="B331" t="s">
        <v>415</v>
      </c>
      <c r="C331" s="1">
        <v>45767</v>
      </c>
      <c r="D331" t="s">
        <v>61</v>
      </c>
      <c r="E331" s="6" t="s">
        <v>662</v>
      </c>
      <c r="F331" s="6" t="s">
        <v>66</v>
      </c>
      <c r="G331" s="6" t="s">
        <v>82</v>
      </c>
      <c r="H331" t="s">
        <v>15</v>
      </c>
      <c r="I331" s="6" t="s">
        <v>23</v>
      </c>
      <c r="J331" s="6" t="s">
        <v>84</v>
      </c>
      <c r="K331" s="6" t="s">
        <v>48</v>
      </c>
      <c r="L331" s="6" t="s">
        <v>74</v>
      </c>
      <c r="M331" s="12">
        <v>163</v>
      </c>
      <c r="N331" s="2">
        <v>150.85</v>
      </c>
      <c r="O331" s="4">
        <v>0.125</v>
      </c>
      <c r="P331" s="2">
        <v>24588.55</v>
      </c>
      <c r="Q331" s="2">
        <v>4522</v>
      </c>
      <c r="R331" s="2">
        <v>14813.050000000001</v>
      </c>
      <c r="S331" s="2">
        <v>2453.15</v>
      </c>
      <c r="T331" s="2">
        <v>21514.981250000001</v>
      </c>
      <c r="U331" s="2">
        <v>-273.21875000000182</v>
      </c>
      <c r="V331" s="5">
        <v>-1.2699000144376226E-2</v>
      </c>
    </row>
    <row r="332" spans="1:22" x14ac:dyDescent="0.3">
      <c r="A332">
        <f t="shared" si="5"/>
        <v>331</v>
      </c>
      <c r="B332" t="s">
        <v>416</v>
      </c>
      <c r="C332" s="1">
        <v>45931</v>
      </c>
      <c r="D332" t="s">
        <v>20</v>
      </c>
      <c r="E332" s="6" t="s">
        <v>662</v>
      </c>
      <c r="F332" s="6" t="s">
        <v>66</v>
      </c>
      <c r="G332" s="6" t="s">
        <v>39</v>
      </c>
      <c r="H332" t="s">
        <v>15</v>
      </c>
      <c r="I332" s="6" t="s">
        <v>23</v>
      </c>
      <c r="J332" s="6" t="s">
        <v>45</v>
      </c>
      <c r="K332" s="6" t="s">
        <v>46</v>
      </c>
      <c r="L332" s="6" t="s">
        <v>47</v>
      </c>
      <c r="M332" s="12">
        <v>7</v>
      </c>
      <c r="N332" s="2">
        <v>166.6</v>
      </c>
      <c r="O332" s="4">
        <v>0.12909999999999999</v>
      </c>
      <c r="P332" s="2">
        <v>1166.2</v>
      </c>
      <c r="Q332" s="2">
        <v>206.5</v>
      </c>
      <c r="R332" s="2">
        <v>616.70000000000005</v>
      </c>
      <c r="S332" s="2">
        <v>117.25</v>
      </c>
      <c r="T332" s="2">
        <v>1015.64358</v>
      </c>
      <c r="U332" s="2">
        <v>75.193579999999997</v>
      </c>
      <c r="V332" s="5">
        <v>7.4035401277286653E-2</v>
      </c>
    </row>
    <row r="333" spans="1:22" x14ac:dyDescent="0.3">
      <c r="A333">
        <f t="shared" si="5"/>
        <v>332</v>
      </c>
      <c r="B333" t="s">
        <v>417</v>
      </c>
      <c r="C333" s="1">
        <v>45755</v>
      </c>
      <c r="D333" t="s">
        <v>61</v>
      </c>
      <c r="E333" s="6" t="s">
        <v>664</v>
      </c>
      <c r="F333" s="6" t="s">
        <v>63</v>
      </c>
      <c r="G333" s="6" t="s">
        <v>39</v>
      </c>
      <c r="H333" t="s">
        <v>15</v>
      </c>
      <c r="I333" s="6" t="s">
        <v>23</v>
      </c>
      <c r="J333" s="6" t="s">
        <v>45</v>
      </c>
      <c r="K333" s="6" t="s">
        <v>33</v>
      </c>
      <c r="L333" s="6" t="s">
        <v>53</v>
      </c>
      <c r="M333" s="12">
        <v>7</v>
      </c>
      <c r="N333" s="2">
        <v>69.650000000000006</v>
      </c>
      <c r="O333" s="4">
        <v>0.13439999999999999</v>
      </c>
      <c r="P333" s="2">
        <v>487.55000000000007</v>
      </c>
      <c r="Q333" s="2">
        <v>185.85</v>
      </c>
      <c r="R333" s="2">
        <v>239.75</v>
      </c>
      <c r="S333" s="2">
        <v>42</v>
      </c>
      <c r="T333" s="2">
        <v>422.02328000000006</v>
      </c>
      <c r="U333" s="2">
        <v>-45.576719999999938</v>
      </c>
      <c r="V333" s="5">
        <v>-0.10799574848098412</v>
      </c>
    </row>
    <row r="334" spans="1:22" x14ac:dyDescent="0.3">
      <c r="A334">
        <f t="shared" si="5"/>
        <v>333</v>
      </c>
      <c r="B334" t="s">
        <v>418</v>
      </c>
      <c r="C334" s="1">
        <v>45968</v>
      </c>
      <c r="D334" t="s">
        <v>67</v>
      </c>
      <c r="E334" s="6" t="s">
        <v>662</v>
      </c>
      <c r="F334" s="6" t="s">
        <v>42</v>
      </c>
      <c r="G334" s="6" t="s">
        <v>82</v>
      </c>
      <c r="H334" t="s">
        <v>27</v>
      </c>
      <c r="I334" s="6" t="s">
        <v>16</v>
      </c>
      <c r="J334" s="6" t="s">
        <v>17</v>
      </c>
      <c r="K334" s="6" t="s">
        <v>48</v>
      </c>
      <c r="L334" s="6" t="s">
        <v>62</v>
      </c>
      <c r="M334" s="12">
        <v>60</v>
      </c>
      <c r="N334" s="2">
        <v>272.3</v>
      </c>
      <c r="O334" s="4">
        <v>0.16699999999999998</v>
      </c>
      <c r="P334" s="2">
        <v>16338</v>
      </c>
      <c r="Q334" s="2">
        <v>2033.5</v>
      </c>
      <c r="R334" s="2">
        <v>8906.1</v>
      </c>
      <c r="S334" s="2">
        <v>1033.2</v>
      </c>
      <c r="T334" s="2">
        <v>13609.554</v>
      </c>
      <c r="U334" s="2">
        <v>1636.753999999999</v>
      </c>
      <c r="V334" s="5">
        <v>0.1202650726100208</v>
      </c>
    </row>
    <row r="335" spans="1:22" x14ac:dyDescent="0.3">
      <c r="A335">
        <f t="shared" si="5"/>
        <v>334</v>
      </c>
      <c r="B335" t="s">
        <v>419</v>
      </c>
      <c r="C335" s="1">
        <v>45970</v>
      </c>
      <c r="D335" t="s">
        <v>67</v>
      </c>
      <c r="E335" s="6" t="s">
        <v>663</v>
      </c>
      <c r="F335" s="6" t="s">
        <v>21</v>
      </c>
      <c r="G335" s="6" t="s">
        <v>39</v>
      </c>
      <c r="H335" t="s">
        <v>27</v>
      </c>
      <c r="I335" s="6" t="s">
        <v>16</v>
      </c>
      <c r="J335" s="6" t="s">
        <v>32</v>
      </c>
      <c r="K335" s="6" t="s">
        <v>48</v>
      </c>
      <c r="L335" s="6" t="s">
        <v>54</v>
      </c>
      <c r="M335" s="12">
        <v>256</v>
      </c>
      <c r="N335" s="2">
        <v>86.45</v>
      </c>
      <c r="O335" s="4">
        <v>9.9900000000000003E-2</v>
      </c>
      <c r="P335" s="2">
        <v>22131.200000000001</v>
      </c>
      <c r="Q335" s="2">
        <v>1836.1000000000001</v>
      </c>
      <c r="R335" s="2">
        <v>12949.65</v>
      </c>
      <c r="S335" s="2">
        <v>1687</v>
      </c>
      <c r="T335" s="2">
        <v>19920.293120000002</v>
      </c>
      <c r="U335" s="2">
        <v>3447.5431200000021</v>
      </c>
      <c r="V335" s="5">
        <v>0.17306688708002313</v>
      </c>
    </row>
    <row r="336" spans="1:22" x14ac:dyDescent="0.3">
      <c r="A336">
        <f t="shared" si="5"/>
        <v>335</v>
      </c>
      <c r="B336" t="s">
        <v>420</v>
      </c>
      <c r="C336" s="1">
        <v>45993</v>
      </c>
      <c r="D336" t="s">
        <v>50</v>
      </c>
      <c r="E336" s="6" t="s">
        <v>662</v>
      </c>
      <c r="F336" s="6" t="s">
        <v>42</v>
      </c>
      <c r="G336" s="6" t="s">
        <v>39</v>
      </c>
      <c r="H336" t="s">
        <v>15</v>
      </c>
      <c r="I336" s="6" t="s">
        <v>23</v>
      </c>
      <c r="J336" s="6" t="s">
        <v>32</v>
      </c>
      <c r="K336" s="6" t="s">
        <v>33</v>
      </c>
      <c r="L336" s="6" t="s">
        <v>70</v>
      </c>
      <c r="M336" s="12">
        <v>50</v>
      </c>
      <c r="N336" s="2">
        <v>104.65</v>
      </c>
      <c r="O336" s="4">
        <v>3.9199999999999999E-2</v>
      </c>
      <c r="P336" s="2">
        <v>5232.5</v>
      </c>
      <c r="Q336" s="2">
        <v>1534.75</v>
      </c>
      <c r="R336" s="2">
        <v>2965.8999999999996</v>
      </c>
      <c r="S336" s="2">
        <v>450.45</v>
      </c>
      <c r="T336" s="2">
        <v>5027.3859999999995</v>
      </c>
      <c r="U336" s="2">
        <v>76.286000000000058</v>
      </c>
      <c r="V336" s="5">
        <v>1.5174088482563318E-2</v>
      </c>
    </row>
    <row r="337" spans="1:22" x14ac:dyDescent="0.3">
      <c r="A337">
        <f t="shared" si="5"/>
        <v>336</v>
      </c>
      <c r="B337" t="s">
        <v>421</v>
      </c>
      <c r="C337" s="1">
        <v>45769</v>
      </c>
      <c r="D337" t="s">
        <v>61</v>
      </c>
      <c r="E337" s="6" t="s">
        <v>662</v>
      </c>
      <c r="F337" s="6" t="s">
        <v>42</v>
      </c>
      <c r="G337" s="6" t="s">
        <v>69</v>
      </c>
      <c r="H337" t="s">
        <v>15</v>
      </c>
      <c r="I337" s="6" t="s">
        <v>16</v>
      </c>
      <c r="J337" s="6" t="s">
        <v>32</v>
      </c>
      <c r="K337" s="6" t="s">
        <v>48</v>
      </c>
      <c r="L337" s="6" t="s">
        <v>57</v>
      </c>
      <c r="M337" s="12">
        <v>174</v>
      </c>
      <c r="N337" s="2">
        <v>81.199999999999989</v>
      </c>
      <c r="O337" s="4">
        <v>5.5899999999999998E-2</v>
      </c>
      <c r="P337" s="2">
        <v>14128.799999999997</v>
      </c>
      <c r="Q337" s="2">
        <v>1589</v>
      </c>
      <c r="R337" s="2">
        <v>9475.2000000000007</v>
      </c>
      <c r="S337" s="2">
        <v>992.6</v>
      </c>
      <c r="T337" s="2">
        <v>13339.000079999998</v>
      </c>
      <c r="U337" s="2">
        <v>1282.2000799999969</v>
      </c>
      <c r="V337" s="5">
        <v>9.6124152658375053E-2</v>
      </c>
    </row>
    <row r="338" spans="1:22" x14ac:dyDescent="0.3">
      <c r="A338">
        <f t="shared" si="5"/>
        <v>337</v>
      </c>
      <c r="B338" t="s">
        <v>422</v>
      </c>
      <c r="C338" s="1">
        <v>45815</v>
      </c>
      <c r="D338" t="s">
        <v>58</v>
      </c>
      <c r="E338" s="6" t="s">
        <v>663</v>
      </c>
      <c r="F338" s="6" t="s">
        <v>21</v>
      </c>
      <c r="G338" s="6" t="s">
        <v>68</v>
      </c>
      <c r="H338" t="s">
        <v>27</v>
      </c>
      <c r="I338" s="6" t="s">
        <v>28</v>
      </c>
      <c r="J338" s="6" t="s">
        <v>32</v>
      </c>
      <c r="K338" s="6" t="s">
        <v>48</v>
      </c>
      <c r="L338" s="6" t="s">
        <v>56</v>
      </c>
      <c r="M338" s="12">
        <v>607</v>
      </c>
      <c r="N338" s="2">
        <v>109.55</v>
      </c>
      <c r="O338" s="4">
        <v>0.13039999999999999</v>
      </c>
      <c r="P338" s="2">
        <v>66496.849999999991</v>
      </c>
      <c r="Q338" s="2">
        <v>4136.3</v>
      </c>
      <c r="R338" s="2">
        <v>34227.9</v>
      </c>
      <c r="S338" s="2">
        <v>3539.2000000000003</v>
      </c>
      <c r="T338" s="2">
        <v>57825.660759999992</v>
      </c>
      <c r="U338" s="2">
        <v>15922.260759999994</v>
      </c>
      <c r="V338" s="5">
        <v>0.27534939593831625</v>
      </c>
    </row>
    <row r="339" spans="1:22" x14ac:dyDescent="0.3">
      <c r="A339">
        <f t="shared" si="5"/>
        <v>338</v>
      </c>
      <c r="B339" t="s">
        <v>423</v>
      </c>
      <c r="C339" s="1">
        <v>45735</v>
      </c>
      <c r="D339" t="s">
        <v>41</v>
      </c>
      <c r="E339" s="6" t="s">
        <v>662</v>
      </c>
      <c r="F339" s="6" t="s">
        <v>42</v>
      </c>
      <c r="G339" s="6" t="s">
        <v>65</v>
      </c>
      <c r="H339" t="s">
        <v>15</v>
      </c>
      <c r="I339" s="6" t="s">
        <v>23</v>
      </c>
      <c r="J339" s="6" t="s">
        <v>32</v>
      </c>
      <c r="K339" s="6" t="s">
        <v>33</v>
      </c>
      <c r="L339" s="6" t="s">
        <v>34</v>
      </c>
      <c r="M339" s="12">
        <v>18</v>
      </c>
      <c r="N339" s="2">
        <v>105</v>
      </c>
      <c r="O339" s="4">
        <v>3.6200000000000003E-2</v>
      </c>
      <c r="P339" s="2">
        <v>1890</v>
      </c>
      <c r="Q339" s="2">
        <v>503.3</v>
      </c>
      <c r="R339" s="2">
        <v>1000.65</v>
      </c>
      <c r="S339" s="2">
        <v>172.9</v>
      </c>
      <c r="T339" s="2">
        <v>1821.5819999999999</v>
      </c>
      <c r="U339" s="2">
        <v>144.7319999999998</v>
      </c>
      <c r="V339" s="5">
        <v>7.9454013050194727E-2</v>
      </c>
    </row>
    <row r="340" spans="1:22" x14ac:dyDescent="0.3">
      <c r="A340">
        <f t="shared" si="5"/>
        <v>339</v>
      </c>
      <c r="B340" t="s">
        <v>424</v>
      </c>
      <c r="C340" s="1">
        <v>45791</v>
      </c>
      <c r="D340" t="s">
        <v>30</v>
      </c>
      <c r="E340" s="6" t="s">
        <v>662</v>
      </c>
      <c r="F340" s="6" t="s">
        <v>42</v>
      </c>
      <c r="G340" s="6" t="s">
        <v>39</v>
      </c>
      <c r="H340" t="s">
        <v>27</v>
      </c>
      <c r="I340" s="6" t="s">
        <v>31</v>
      </c>
      <c r="J340" s="6" t="s">
        <v>84</v>
      </c>
      <c r="K340" s="6" t="s">
        <v>46</v>
      </c>
      <c r="L340" s="6" t="s">
        <v>76</v>
      </c>
      <c r="M340" s="12">
        <v>422</v>
      </c>
      <c r="N340" s="2">
        <v>275.10000000000002</v>
      </c>
      <c r="O340" s="4">
        <v>0.24010000000000001</v>
      </c>
      <c r="P340" s="2">
        <v>116092.20000000001</v>
      </c>
      <c r="Q340" s="2">
        <v>10666.6</v>
      </c>
      <c r="R340" s="2">
        <v>49992.95</v>
      </c>
      <c r="S340" s="2">
        <v>4708.55</v>
      </c>
      <c r="T340" s="2">
        <v>88218.462780000016</v>
      </c>
      <c r="U340" s="2">
        <v>22850.362780000018</v>
      </c>
      <c r="V340" s="5">
        <v>0.25902018761066437</v>
      </c>
    </row>
    <row r="341" spans="1:22" x14ac:dyDescent="0.3">
      <c r="A341">
        <f t="shared" si="5"/>
        <v>340</v>
      </c>
      <c r="B341" t="s">
        <v>425</v>
      </c>
      <c r="C341" s="1">
        <v>45767</v>
      </c>
      <c r="D341" t="s">
        <v>61</v>
      </c>
      <c r="E341" s="6" t="s">
        <v>662</v>
      </c>
      <c r="F341" s="6" t="s">
        <v>66</v>
      </c>
      <c r="G341" s="6" t="s">
        <v>68</v>
      </c>
      <c r="H341" t="s">
        <v>15</v>
      </c>
      <c r="I341" s="6" t="s">
        <v>23</v>
      </c>
      <c r="J341" s="6" t="s">
        <v>32</v>
      </c>
      <c r="K341" s="6" t="s">
        <v>33</v>
      </c>
      <c r="L341" s="6" t="s">
        <v>73</v>
      </c>
      <c r="M341" s="12">
        <v>123</v>
      </c>
      <c r="N341" s="2">
        <v>154.69999999999999</v>
      </c>
      <c r="O341" s="4">
        <v>2.86E-2</v>
      </c>
      <c r="P341" s="2">
        <v>19028.099999999999</v>
      </c>
      <c r="Q341" s="2">
        <v>3044.3</v>
      </c>
      <c r="R341" s="2">
        <v>10204.25</v>
      </c>
      <c r="S341" s="2">
        <v>1873.2</v>
      </c>
      <c r="T341" s="2">
        <v>18483.896339999999</v>
      </c>
      <c r="U341" s="2">
        <v>3362.1463399999984</v>
      </c>
      <c r="V341" s="5">
        <v>0.18189597464492158</v>
      </c>
    </row>
    <row r="342" spans="1:22" x14ac:dyDescent="0.3">
      <c r="A342">
        <f t="shared" si="5"/>
        <v>341</v>
      </c>
      <c r="B342" t="s">
        <v>426</v>
      </c>
      <c r="C342" s="1">
        <v>45878</v>
      </c>
      <c r="D342" t="s">
        <v>35</v>
      </c>
      <c r="E342" s="6" t="s">
        <v>664</v>
      </c>
      <c r="F342" s="6" t="s">
        <v>63</v>
      </c>
      <c r="G342" s="6" t="s">
        <v>64</v>
      </c>
      <c r="H342" t="s">
        <v>27</v>
      </c>
      <c r="I342" s="6" t="s">
        <v>31</v>
      </c>
      <c r="J342" s="6" t="s">
        <v>84</v>
      </c>
      <c r="K342" s="6" t="s">
        <v>18</v>
      </c>
      <c r="L342" s="6" t="s">
        <v>59</v>
      </c>
      <c r="M342" s="12">
        <v>495</v>
      </c>
      <c r="N342" s="2">
        <v>188.64999999999998</v>
      </c>
      <c r="O342" s="4">
        <v>0.26890000000000003</v>
      </c>
      <c r="P342" s="2">
        <v>93381.749999999985</v>
      </c>
      <c r="Q342" s="2">
        <v>6623.0499999999993</v>
      </c>
      <c r="R342" s="2">
        <v>43858.149999999994</v>
      </c>
      <c r="S342" s="2">
        <v>2832.2000000000003</v>
      </c>
      <c r="T342" s="2">
        <v>68271.397424999988</v>
      </c>
      <c r="U342" s="2">
        <v>14957.997424999998</v>
      </c>
      <c r="V342" s="5">
        <v>0.21909610743550706</v>
      </c>
    </row>
    <row r="343" spans="1:22" x14ac:dyDescent="0.3">
      <c r="A343">
        <f t="shared" si="5"/>
        <v>342</v>
      </c>
      <c r="B343" t="s">
        <v>427</v>
      </c>
      <c r="C343" s="1">
        <v>45972</v>
      </c>
      <c r="D343" t="s">
        <v>67</v>
      </c>
      <c r="E343" s="6" t="s">
        <v>662</v>
      </c>
      <c r="F343" s="6" t="s">
        <v>66</v>
      </c>
      <c r="G343" s="6" t="s">
        <v>65</v>
      </c>
      <c r="H343" t="s">
        <v>15</v>
      </c>
      <c r="I343" s="6" t="s">
        <v>23</v>
      </c>
      <c r="J343" s="6" t="s">
        <v>32</v>
      </c>
      <c r="K343" s="6" t="s">
        <v>46</v>
      </c>
      <c r="L343" s="6" t="s">
        <v>83</v>
      </c>
      <c r="M343" s="12">
        <v>35</v>
      </c>
      <c r="N343" s="2">
        <v>149.44999999999999</v>
      </c>
      <c r="O343" s="4">
        <v>7.1199999999999999E-2</v>
      </c>
      <c r="P343" s="2">
        <v>5230.75</v>
      </c>
      <c r="Q343" s="2">
        <v>703.85</v>
      </c>
      <c r="R343" s="2">
        <v>2476.9499999999998</v>
      </c>
      <c r="S343" s="2">
        <v>577.85</v>
      </c>
      <c r="T343" s="2">
        <v>4858.3206</v>
      </c>
      <c r="U343" s="2">
        <v>1099.6705999999999</v>
      </c>
      <c r="V343" s="5">
        <v>0.22634788655157914</v>
      </c>
    </row>
    <row r="344" spans="1:22" x14ac:dyDescent="0.3">
      <c r="A344">
        <f t="shared" si="5"/>
        <v>343</v>
      </c>
      <c r="B344" t="s">
        <v>428</v>
      </c>
      <c r="C344" s="1">
        <v>45807</v>
      </c>
      <c r="D344" t="s">
        <v>30</v>
      </c>
      <c r="E344" s="6" t="s">
        <v>664</v>
      </c>
      <c r="F344" s="6" t="s">
        <v>63</v>
      </c>
      <c r="G344" s="6" t="s">
        <v>69</v>
      </c>
      <c r="H344" t="s">
        <v>15</v>
      </c>
      <c r="I344" s="6" t="s">
        <v>23</v>
      </c>
      <c r="J344" s="6" t="s">
        <v>17</v>
      </c>
      <c r="K344" s="6" t="s">
        <v>37</v>
      </c>
      <c r="L344" s="6" t="s">
        <v>75</v>
      </c>
      <c r="M344" s="12">
        <v>14</v>
      </c>
      <c r="N344" s="2">
        <v>134.75</v>
      </c>
      <c r="O344" s="4">
        <v>9.8900000000000002E-2</v>
      </c>
      <c r="P344" s="2">
        <v>1886.5</v>
      </c>
      <c r="Q344" s="2">
        <v>276.85000000000002</v>
      </c>
      <c r="R344" s="2">
        <v>881.65000000000009</v>
      </c>
      <c r="S344" s="2">
        <v>187.60000000000002</v>
      </c>
      <c r="T344" s="2">
        <v>1699.92515</v>
      </c>
      <c r="U344" s="2">
        <v>353.82515000000001</v>
      </c>
      <c r="V344" s="5">
        <v>0.2081416055289258</v>
      </c>
    </row>
    <row r="345" spans="1:22" x14ac:dyDescent="0.3">
      <c r="A345">
        <f t="shared" si="5"/>
        <v>344</v>
      </c>
      <c r="B345" t="s">
        <v>429</v>
      </c>
      <c r="C345" s="1">
        <v>45984</v>
      </c>
      <c r="D345" t="s">
        <v>67</v>
      </c>
      <c r="E345" s="6" t="s">
        <v>662</v>
      </c>
      <c r="F345" s="6" t="s">
        <v>42</v>
      </c>
      <c r="G345" s="6" t="s">
        <v>43</v>
      </c>
      <c r="H345" t="s">
        <v>27</v>
      </c>
      <c r="I345" s="6" t="s">
        <v>28</v>
      </c>
      <c r="J345" s="6" t="s">
        <v>17</v>
      </c>
      <c r="K345" s="6" t="s">
        <v>33</v>
      </c>
      <c r="L345" s="6" t="s">
        <v>79</v>
      </c>
      <c r="M345" s="12">
        <v>424</v>
      </c>
      <c r="N345" s="2">
        <v>70.7</v>
      </c>
      <c r="O345" s="4">
        <v>0.24109999999999998</v>
      </c>
      <c r="P345" s="2">
        <v>29976.800000000003</v>
      </c>
      <c r="Q345" s="2">
        <v>2623.25</v>
      </c>
      <c r="R345" s="2">
        <v>13900.25</v>
      </c>
      <c r="S345" s="2">
        <v>1172.5</v>
      </c>
      <c r="T345" s="2">
        <v>22749.393520000001</v>
      </c>
      <c r="U345" s="2">
        <v>5053.3935200000014</v>
      </c>
      <c r="V345" s="5">
        <v>0.22213310941926162</v>
      </c>
    </row>
    <row r="346" spans="1:22" x14ac:dyDescent="0.3">
      <c r="A346">
        <f t="shared" si="5"/>
        <v>345</v>
      </c>
      <c r="B346" t="s">
        <v>430</v>
      </c>
      <c r="C346" s="1">
        <v>45708</v>
      </c>
      <c r="D346" t="s">
        <v>55</v>
      </c>
      <c r="E346" s="6" t="s">
        <v>662</v>
      </c>
      <c r="F346" s="6" t="s">
        <v>42</v>
      </c>
      <c r="G346" s="6" t="s">
        <v>39</v>
      </c>
      <c r="H346" t="s">
        <v>15</v>
      </c>
      <c r="I346" s="6" t="s">
        <v>23</v>
      </c>
      <c r="J346" s="6" t="s">
        <v>24</v>
      </c>
      <c r="K346" s="6" t="s">
        <v>48</v>
      </c>
      <c r="L346" s="6" t="s">
        <v>54</v>
      </c>
      <c r="M346" s="12">
        <v>18</v>
      </c>
      <c r="N346" s="2">
        <v>90.3</v>
      </c>
      <c r="O346" s="4">
        <v>0.12720000000000001</v>
      </c>
      <c r="P346" s="2">
        <v>1625.3999999999999</v>
      </c>
      <c r="Q346" s="2">
        <v>252.35</v>
      </c>
      <c r="R346" s="2">
        <v>901.25</v>
      </c>
      <c r="S346" s="2">
        <v>141.4</v>
      </c>
      <c r="T346" s="2">
        <v>1418.6491199999998</v>
      </c>
      <c r="U346" s="2">
        <v>123.64911999999973</v>
      </c>
      <c r="V346" s="5">
        <v>8.7159762239164357E-2</v>
      </c>
    </row>
    <row r="347" spans="1:22" x14ac:dyDescent="0.3">
      <c r="A347">
        <f t="shared" si="5"/>
        <v>346</v>
      </c>
      <c r="B347" t="s">
        <v>431</v>
      </c>
      <c r="C347" s="1">
        <v>45672</v>
      </c>
      <c r="D347" t="s">
        <v>44</v>
      </c>
      <c r="E347" s="6" t="s">
        <v>662</v>
      </c>
      <c r="F347" s="6" t="s">
        <v>42</v>
      </c>
      <c r="G347" s="6" t="s">
        <v>22</v>
      </c>
      <c r="H347" t="s">
        <v>27</v>
      </c>
      <c r="I347" s="6" t="s">
        <v>16</v>
      </c>
      <c r="J347" s="6" t="s">
        <v>32</v>
      </c>
      <c r="K347" s="6" t="s">
        <v>18</v>
      </c>
      <c r="L347" s="6" t="s">
        <v>71</v>
      </c>
      <c r="M347" s="12">
        <v>63</v>
      </c>
      <c r="N347" s="2">
        <v>98.699999999999989</v>
      </c>
      <c r="O347" s="4">
        <v>8.5000000000000006E-2</v>
      </c>
      <c r="P347" s="2">
        <v>6218.0999999999995</v>
      </c>
      <c r="Q347" s="2">
        <v>491.4</v>
      </c>
      <c r="R347" s="2">
        <v>2817.8500000000004</v>
      </c>
      <c r="S347" s="2">
        <v>415.45</v>
      </c>
      <c r="T347" s="2">
        <v>5689.5614999999998</v>
      </c>
      <c r="U347" s="2">
        <v>1964.8614999999995</v>
      </c>
      <c r="V347" s="5">
        <v>0.34534497957355759</v>
      </c>
    </row>
    <row r="348" spans="1:22" x14ac:dyDescent="0.3">
      <c r="A348">
        <f t="shared" si="5"/>
        <v>347</v>
      </c>
      <c r="B348" t="s">
        <v>432</v>
      </c>
      <c r="C348" s="1">
        <v>45826</v>
      </c>
      <c r="D348" t="s">
        <v>58</v>
      </c>
      <c r="E348" s="6" t="s">
        <v>663</v>
      </c>
      <c r="F348" s="6" t="s">
        <v>21</v>
      </c>
      <c r="G348" s="6" t="s">
        <v>65</v>
      </c>
      <c r="H348" t="s">
        <v>27</v>
      </c>
      <c r="I348" s="6" t="s">
        <v>16</v>
      </c>
      <c r="J348" s="6" t="s">
        <v>17</v>
      </c>
      <c r="K348" s="6" t="s">
        <v>37</v>
      </c>
      <c r="L348" s="6" t="s">
        <v>77</v>
      </c>
      <c r="M348" s="12">
        <v>54</v>
      </c>
      <c r="N348" s="2">
        <v>194.95000000000002</v>
      </c>
      <c r="O348" s="4">
        <v>0.16089999999999999</v>
      </c>
      <c r="P348" s="2">
        <v>10527.300000000001</v>
      </c>
      <c r="Q348" s="2">
        <v>1223.25</v>
      </c>
      <c r="R348" s="2">
        <v>4883.55</v>
      </c>
      <c r="S348" s="2">
        <v>555.44999999999993</v>
      </c>
      <c r="T348" s="2">
        <v>8833.4574300000004</v>
      </c>
      <c r="U348" s="2">
        <v>2171.2074299999995</v>
      </c>
      <c r="V348" s="5">
        <v>0.24579361447151948</v>
      </c>
    </row>
    <row r="349" spans="1:22" x14ac:dyDescent="0.3">
      <c r="A349">
        <f t="shared" si="5"/>
        <v>348</v>
      </c>
      <c r="B349" t="s">
        <v>433</v>
      </c>
      <c r="C349" s="1">
        <v>45823</v>
      </c>
      <c r="D349" t="s">
        <v>58</v>
      </c>
      <c r="E349" s="6" t="s">
        <v>662</v>
      </c>
      <c r="F349" s="6" t="s">
        <v>42</v>
      </c>
      <c r="G349" s="6" t="s">
        <v>68</v>
      </c>
      <c r="H349" t="s">
        <v>27</v>
      </c>
      <c r="I349" s="6" t="s">
        <v>31</v>
      </c>
      <c r="J349" s="6" t="s">
        <v>32</v>
      </c>
      <c r="K349" s="6" t="s">
        <v>46</v>
      </c>
      <c r="L349" s="6" t="s">
        <v>83</v>
      </c>
      <c r="M349" s="12">
        <v>194</v>
      </c>
      <c r="N349" s="2">
        <v>134.05000000000001</v>
      </c>
      <c r="O349" s="4">
        <v>0.1492</v>
      </c>
      <c r="P349" s="2">
        <v>26005.7</v>
      </c>
      <c r="Q349" s="2">
        <v>755.65</v>
      </c>
      <c r="R349" s="2">
        <v>13092.1</v>
      </c>
      <c r="S349" s="2">
        <v>1146.95</v>
      </c>
      <c r="T349" s="2">
        <v>22125.649560000002</v>
      </c>
      <c r="U349" s="2">
        <v>7130.9495600000009</v>
      </c>
      <c r="V349" s="5">
        <v>0.32229334287621253</v>
      </c>
    </row>
    <row r="350" spans="1:22" x14ac:dyDescent="0.3">
      <c r="A350">
        <f t="shared" si="5"/>
        <v>349</v>
      </c>
      <c r="B350" t="s">
        <v>434</v>
      </c>
      <c r="C350" s="1">
        <v>45859</v>
      </c>
      <c r="D350" t="s">
        <v>26</v>
      </c>
      <c r="E350" s="6" t="s">
        <v>664</v>
      </c>
      <c r="F350" s="6" t="s">
        <v>63</v>
      </c>
      <c r="G350" s="6" t="s">
        <v>22</v>
      </c>
      <c r="H350" t="s">
        <v>15</v>
      </c>
      <c r="I350" s="6" t="s">
        <v>16</v>
      </c>
      <c r="J350" s="6" t="s">
        <v>17</v>
      </c>
      <c r="K350" s="6" t="s">
        <v>46</v>
      </c>
      <c r="L350" s="6" t="s">
        <v>83</v>
      </c>
      <c r="M350" s="12">
        <v>131</v>
      </c>
      <c r="N350" s="2">
        <v>127.4</v>
      </c>
      <c r="O350" s="4">
        <v>0.10289999999999999</v>
      </c>
      <c r="P350" s="2">
        <v>16689.400000000001</v>
      </c>
      <c r="Q350" s="2">
        <v>4250.75</v>
      </c>
      <c r="R350" s="2">
        <v>8053.5</v>
      </c>
      <c r="S350" s="2">
        <v>1078</v>
      </c>
      <c r="T350" s="2">
        <v>14972.060740000001</v>
      </c>
      <c r="U350" s="2">
        <v>1589.8107400000008</v>
      </c>
      <c r="V350" s="5">
        <v>0.10618516499553025</v>
      </c>
    </row>
    <row r="351" spans="1:22" x14ac:dyDescent="0.3">
      <c r="A351">
        <f t="shared" si="5"/>
        <v>350</v>
      </c>
      <c r="B351" t="s">
        <v>435</v>
      </c>
      <c r="C351" s="1">
        <v>45905</v>
      </c>
      <c r="D351" t="s">
        <v>14</v>
      </c>
      <c r="E351" s="6" t="s">
        <v>663</v>
      </c>
      <c r="F351" s="6" t="s">
        <v>21</v>
      </c>
      <c r="G351" s="6" t="s">
        <v>39</v>
      </c>
      <c r="H351" t="s">
        <v>15</v>
      </c>
      <c r="I351" s="6" t="s">
        <v>23</v>
      </c>
      <c r="J351" s="6" t="s">
        <v>24</v>
      </c>
      <c r="K351" s="6" t="s">
        <v>37</v>
      </c>
      <c r="L351" s="6" t="s">
        <v>77</v>
      </c>
      <c r="M351" s="12">
        <v>68</v>
      </c>
      <c r="N351" s="2">
        <v>186.20000000000002</v>
      </c>
      <c r="O351" s="4">
        <v>8.929999999999999E-2</v>
      </c>
      <c r="P351" s="2">
        <v>12661.6</v>
      </c>
      <c r="Q351" s="2">
        <v>1938.3000000000002</v>
      </c>
      <c r="R351" s="2">
        <v>6286.35</v>
      </c>
      <c r="S351" s="2">
        <v>1112.3</v>
      </c>
      <c r="T351" s="2">
        <v>11530.91912</v>
      </c>
      <c r="U351" s="2">
        <v>2193.9691200000007</v>
      </c>
      <c r="V351" s="5">
        <v>0.19026836431404964</v>
      </c>
    </row>
    <row r="352" spans="1:22" x14ac:dyDescent="0.3">
      <c r="A352">
        <f t="shared" si="5"/>
        <v>351</v>
      </c>
      <c r="B352" t="s">
        <v>436</v>
      </c>
      <c r="C352" s="1">
        <v>45976</v>
      </c>
      <c r="D352" t="s">
        <v>67</v>
      </c>
      <c r="E352" s="6" t="s">
        <v>663</v>
      </c>
      <c r="F352" s="6" t="s">
        <v>21</v>
      </c>
      <c r="G352" s="6" t="s">
        <v>43</v>
      </c>
      <c r="H352" t="s">
        <v>15</v>
      </c>
      <c r="I352" s="6" t="s">
        <v>31</v>
      </c>
      <c r="J352" s="6" t="s">
        <v>24</v>
      </c>
      <c r="K352" s="6" t="s">
        <v>46</v>
      </c>
      <c r="L352" s="6" t="s">
        <v>51</v>
      </c>
      <c r="M352" s="12">
        <v>810</v>
      </c>
      <c r="N352" s="2">
        <v>136.85</v>
      </c>
      <c r="O352" s="4">
        <v>0.1837</v>
      </c>
      <c r="P352" s="2">
        <v>110848.5</v>
      </c>
      <c r="Q352" s="2">
        <v>7585.2</v>
      </c>
      <c r="R352" s="2">
        <v>43432.9</v>
      </c>
      <c r="S352" s="2">
        <v>4720.1000000000004</v>
      </c>
      <c r="T352" s="2">
        <v>90485.630550000002</v>
      </c>
      <c r="U352" s="2">
        <v>34747.430549999997</v>
      </c>
      <c r="V352" s="5">
        <v>0.38401048142997107</v>
      </c>
    </row>
    <row r="353" spans="1:22" x14ac:dyDescent="0.3">
      <c r="A353">
        <f t="shared" si="5"/>
        <v>352</v>
      </c>
      <c r="B353" t="s">
        <v>437</v>
      </c>
      <c r="C353" s="1">
        <v>45822</v>
      </c>
      <c r="D353" t="s">
        <v>58</v>
      </c>
      <c r="E353" s="6" t="s">
        <v>662</v>
      </c>
      <c r="F353" s="6" t="s">
        <v>42</v>
      </c>
      <c r="G353" s="6" t="s">
        <v>82</v>
      </c>
      <c r="H353" t="s">
        <v>27</v>
      </c>
      <c r="I353" s="6" t="s">
        <v>28</v>
      </c>
      <c r="J353" s="6" t="s">
        <v>24</v>
      </c>
      <c r="K353" s="6" t="s">
        <v>48</v>
      </c>
      <c r="L353" s="6" t="s">
        <v>74</v>
      </c>
      <c r="M353" s="12">
        <v>213</v>
      </c>
      <c r="N353" s="2">
        <v>130.55000000000001</v>
      </c>
      <c r="O353" s="4">
        <v>0.14279999999999998</v>
      </c>
      <c r="P353" s="2">
        <v>27807.15</v>
      </c>
      <c r="Q353" s="2">
        <v>2781.45</v>
      </c>
      <c r="R353" s="2">
        <v>16875.600000000002</v>
      </c>
      <c r="S353" s="2">
        <v>1623.3000000000002</v>
      </c>
      <c r="T353" s="2">
        <v>23836.288980000001</v>
      </c>
      <c r="U353" s="2">
        <v>2555.9389799999999</v>
      </c>
      <c r="V353" s="5">
        <v>0.10722889717206306</v>
      </c>
    </row>
    <row r="354" spans="1:22" x14ac:dyDescent="0.3">
      <c r="A354">
        <f t="shared" si="5"/>
        <v>353</v>
      </c>
      <c r="B354" t="s">
        <v>438</v>
      </c>
      <c r="C354" s="1">
        <v>45662</v>
      </c>
      <c r="D354" t="s">
        <v>44</v>
      </c>
      <c r="E354" s="6" t="s">
        <v>664</v>
      </c>
      <c r="F354" s="6" t="s">
        <v>63</v>
      </c>
      <c r="G354" s="6" t="s">
        <v>39</v>
      </c>
      <c r="H354" t="s">
        <v>27</v>
      </c>
      <c r="I354" s="6" t="s">
        <v>16</v>
      </c>
      <c r="J354" s="6" t="s">
        <v>17</v>
      </c>
      <c r="K354" s="6" t="s">
        <v>18</v>
      </c>
      <c r="L354" s="6" t="s">
        <v>71</v>
      </c>
      <c r="M354" s="12">
        <v>97</v>
      </c>
      <c r="N354" s="2">
        <v>89.949999999999989</v>
      </c>
      <c r="O354" s="4">
        <v>0.1142</v>
      </c>
      <c r="P354" s="2">
        <v>8725.15</v>
      </c>
      <c r="Q354" s="2">
        <v>949.55</v>
      </c>
      <c r="R354" s="2">
        <v>4003.65</v>
      </c>
      <c r="S354" s="2">
        <v>575.75</v>
      </c>
      <c r="T354" s="2">
        <v>7728.7378699999999</v>
      </c>
      <c r="U354" s="2">
        <v>2199.7878700000001</v>
      </c>
      <c r="V354" s="5">
        <v>0.28462446352835097</v>
      </c>
    </row>
    <row r="355" spans="1:22" x14ac:dyDescent="0.3">
      <c r="A355">
        <f t="shared" si="5"/>
        <v>354</v>
      </c>
      <c r="B355" t="s">
        <v>439</v>
      </c>
      <c r="C355" s="1">
        <v>45875</v>
      </c>
      <c r="D355" t="s">
        <v>35</v>
      </c>
      <c r="E355" s="6" t="s">
        <v>663</v>
      </c>
      <c r="F355" s="6" t="s">
        <v>21</v>
      </c>
      <c r="G355" s="6" t="s">
        <v>22</v>
      </c>
      <c r="H355" t="s">
        <v>15</v>
      </c>
      <c r="I355" s="6" t="s">
        <v>23</v>
      </c>
      <c r="J355" s="6" t="s">
        <v>52</v>
      </c>
      <c r="K355" s="6" t="s">
        <v>46</v>
      </c>
      <c r="L355" s="6" t="s">
        <v>51</v>
      </c>
      <c r="M355" s="12">
        <v>80</v>
      </c>
      <c r="N355" s="2">
        <v>140.35</v>
      </c>
      <c r="O355" s="4">
        <v>0.15010000000000001</v>
      </c>
      <c r="P355" s="2">
        <v>11228</v>
      </c>
      <c r="Q355" s="2">
        <v>1566.25</v>
      </c>
      <c r="R355" s="2">
        <v>4948.3</v>
      </c>
      <c r="S355" s="2">
        <v>996.44999999999993</v>
      </c>
      <c r="T355" s="2">
        <v>9542.6772000000001</v>
      </c>
      <c r="U355" s="2">
        <v>2031.6771999999992</v>
      </c>
      <c r="V355" s="5">
        <v>0.21290431997427295</v>
      </c>
    </row>
    <row r="356" spans="1:22" x14ac:dyDescent="0.3">
      <c r="A356">
        <f t="shared" si="5"/>
        <v>355</v>
      </c>
      <c r="B356" t="s">
        <v>440</v>
      </c>
      <c r="C356" s="1">
        <v>46014</v>
      </c>
      <c r="D356" t="s">
        <v>50</v>
      </c>
      <c r="E356" s="6" t="s">
        <v>662</v>
      </c>
      <c r="F356" s="6" t="s">
        <v>42</v>
      </c>
      <c r="G356" s="6" t="s">
        <v>64</v>
      </c>
      <c r="H356" t="s">
        <v>27</v>
      </c>
      <c r="I356" s="6" t="s">
        <v>28</v>
      </c>
      <c r="J356" s="6" t="s">
        <v>84</v>
      </c>
      <c r="K356" s="6" t="s">
        <v>33</v>
      </c>
      <c r="L356" s="6" t="s">
        <v>73</v>
      </c>
      <c r="M356" s="12">
        <v>290</v>
      </c>
      <c r="N356" s="2">
        <v>142.80000000000001</v>
      </c>
      <c r="O356" s="4">
        <v>0.15310000000000001</v>
      </c>
      <c r="P356" s="2">
        <v>41412</v>
      </c>
      <c r="Q356" s="2">
        <v>5101.9500000000007</v>
      </c>
      <c r="R356" s="2">
        <v>19833.099999999999</v>
      </c>
      <c r="S356" s="2">
        <v>2031.75</v>
      </c>
      <c r="T356" s="2">
        <v>35071.822800000002</v>
      </c>
      <c r="U356" s="2">
        <v>8105.0228000000025</v>
      </c>
      <c r="V356" s="5">
        <v>0.2310978487265852</v>
      </c>
    </row>
    <row r="357" spans="1:22" x14ac:dyDescent="0.3">
      <c r="A357">
        <f t="shared" si="5"/>
        <v>356</v>
      </c>
      <c r="B357" t="s">
        <v>441</v>
      </c>
      <c r="C357" s="1">
        <v>45776</v>
      </c>
      <c r="D357" t="s">
        <v>61</v>
      </c>
      <c r="E357" s="6" t="s">
        <v>662</v>
      </c>
      <c r="F357" s="6" t="s">
        <v>66</v>
      </c>
      <c r="G357" s="6" t="s">
        <v>22</v>
      </c>
      <c r="H357" t="s">
        <v>27</v>
      </c>
      <c r="I357" s="6" t="s">
        <v>28</v>
      </c>
      <c r="J357" s="6" t="s">
        <v>32</v>
      </c>
      <c r="K357" s="6" t="s">
        <v>33</v>
      </c>
      <c r="L357" s="6" t="s">
        <v>78</v>
      </c>
      <c r="M357" s="12">
        <v>238</v>
      </c>
      <c r="N357" s="2">
        <v>87.5</v>
      </c>
      <c r="O357" s="4">
        <v>7.9000000000000001E-2</v>
      </c>
      <c r="P357" s="2">
        <v>20825</v>
      </c>
      <c r="Q357" s="2">
        <v>1350.3</v>
      </c>
      <c r="R357" s="2">
        <v>11993.1</v>
      </c>
      <c r="S357" s="2">
        <v>1046.5</v>
      </c>
      <c r="T357" s="2">
        <v>19179.825000000001</v>
      </c>
      <c r="U357" s="2">
        <v>4789.9250000000002</v>
      </c>
      <c r="V357" s="5">
        <v>0.24973768008832198</v>
      </c>
    </row>
    <row r="358" spans="1:22" x14ac:dyDescent="0.3">
      <c r="A358">
        <f t="shared" si="5"/>
        <v>357</v>
      </c>
      <c r="B358" t="s">
        <v>442</v>
      </c>
      <c r="C358" s="1">
        <v>45693</v>
      </c>
      <c r="D358" t="s">
        <v>55</v>
      </c>
      <c r="E358" s="6" t="s">
        <v>662</v>
      </c>
      <c r="F358" s="6" t="s">
        <v>66</v>
      </c>
      <c r="G358" s="6" t="s">
        <v>64</v>
      </c>
      <c r="H358" t="s">
        <v>27</v>
      </c>
      <c r="I358" s="6" t="s">
        <v>16</v>
      </c>
      <c r="J358" s="6" t="s">
        <v>17</v>
      </c>
      <c r="K358" s="6" t="s">
        <v>33</v>
      </c>
      <c r="L358" s="6" t="s">
        <v>34</v>
      </c>
      <c r="M358" s="12">
        <v>87</v>
      </c>
      <c r="N358" s="2">
        <v>98.350000000000009</v>
      </c>
      <c r="O358" s="4">
        <v>0.1313</v>
      </c>
      <c r="P358" s="2">
        <v>8556.4500000000007</v>
      </c>
      <c r="Q358" s="2">
        <v>1247.75</v>
      </c>
      <c r="R358" s="2">
        <v>4040.4</v>
      </c>
      <c r="S358" s="2">
        <v>585.19999999999993</v>
      </c>
      <c r="T358" s="2">
        <v>7432.988115000001</v>
      </c>
      <c r="U358" s="2">
        <v>1559.6381150000011</v>
      </c>
      <c r="V358" s="5">
        <v>0.20982653152002259</v>
      </c>
    </row>
    <row r="359" spans="1:22" x14ac:dyDescent="0.3">
      <c r="A359">
        <f t="shared" si="5"/>
        <v>358</v>
      </c>
      <c r="B359" t="s">
        <v>443</v>
      </c>
      <c r="C359" s="1">
        <v>45824</v>
      </c>
      <c r="D359" t="s">
        <v>58</v>
      </c>
      <c r="E359" s="6" t="s">
        <v>662</v>
      </c>
      <c r="F359" s="6" t="s">
        <v>42</v>
      </c>
      <c r="G359" s="6" t="s">
        <v>22</v>
      </c>
      <c r="H359" t="s">
        <v>27</v>
      </c>
      <c r="I359" s="6" t="s">
        <v>16</v>
      </c>
      <c r="J359" s="6" t="s">
        <v>52</v>
      </c>
      <c r="K359" s="6" t="s">
        <v>33</v>
      </c>
      <c r="L359" s="6" t="s">
        <v>70</v>
      </c>
      <c r="M359" s="12">
        <v>276</v>
      </c>
      <c r="N359" s="2">
        <v>103.6</v>
      </c>
      <c r="O359" s="4">
        <v>0.16550000000000001</v>
      </c>
      <c r="P359" s="2">
        <v>28593.599999999999</v>
      </c>
      <c r="Q359" s="2">
        <v>4471.6000000000004</v>
      </c>
      <c r="R359" s="2">
        <v>12992.349999999999</v>
      </c>
      <c r="S359" s="2">
        <v>1744.4</v>
      </c>
      <c r="T359" s="2">
        <v>23861.359199999999</v>
      </c>
      <c r="U359" s="2">
        <v>4653.0091999999986</v>
      </c>
      <c r="V359" s="5">
        <v>0.19500185052325095</v>
      </c>
    </row>
    <row r="360" spans="1:22" x14ac:dyDescent="0.3">
      <c r="A360">
        <f t="shared" si="5"/>
        <v>359</v>
      </c>
      <c r="B360" t="s">
        <v>444</v>
      </c>
      <c r="C360" s="1">
        <v>45734</v>
      </c>
      <c r="D360" t="s">
        <v>41</v>
      </c>
      <c r="E360" s="6" t="s">
        <v>664</v>
      </c>
      <c r="F360" s="6" t="s">
        <v>63</v>
      </c>
      <c r="G360" s="6" t="s">
        <v>22</v>
      </c>
      <c r="H360" t="s">
        <v>27</v>
      </c>
      <c r="I360" s="6" t="s">
        <v>28</v>
      </c>
      <c r="J360" s="6" t="s">
        <v>32</v>
      </c>
      <c r="K360" s="6" t="s">
        <v>18</v>
      </c>
      <c r="L360" s="6" t="s">
        <v>71</v>
      </c>
      <c r="M360" s="12">
        <v>213</v>
      </c>
      <c r="N360" s="2">
        <v>97.65</v>
      </c>
      <c r="O360" s="4">
        <v>0.1158</v>
      </c>
      <c r="P360" s="2">
        <v>20799.45</v>
      </c>
      <c r="Q360" s="2">
        <v>952.35</v>
      </c>
      <c r="R360" s="2">
        <v>9024.4</v>
      </c>
      <c r="S360" s="2">
        <v>1094.1000000000001</v>
      </c>
      <c r="T360" s="2">
        <v>18390.87369</v>
      </c>
      <c r="U360" s="2">
        <v>7320.0236900000018</v>
      </c>
      <c r="V360" s="5">
        <v>0.39802479280689362</v>
      </c>
    </row>
    <row r="361" spans="1:22" x14ac:dyDescent="0.3">
      <c r="A361">
        <f t="shared" si="5"/>
        <v>360</v>
      </c>
      <c r="B361" t="s">
        <v>445</v>
      </c>
      <c r="C361" s="1">
        <v>45712</v>
      </c>
      <c r="D361" t="s">
        <v>55</v>
      </c>
      <c r="E361" s="6" t="s">
        <v>662</v>
      </c>
      <c r="F361" s="6" t="s">
        <v>66</v>
      </c>
      <c r="G361" s="6" t="s">
        <v>69</v>
      </c>
      <c r="H361" t="s">
        <v>27</v>
      </c>
      <c r="I361" s="6" t="s">
        <v>16</v>
      </c>
      <c r="J361" s="6" t="s">
        <v>32</v>
      </c>
      <c r="K361" s="6" t="s">
        <v>33</v>
      </c>
      <c r="L361" s="6" t="s">
        <v>79</v>
      </c>
      <c r="M361" s="12">
        <v>248</v>
      </c>
      <c r="N361" s="2">
        <v>68.599999999999994</v>
      </c>
      <c r="O361" s="4">
        <v>0.16670000000000001</v>
      </c>
      <c r="P361" s="2">
        <v>17012.8</v>
      </c>
      <c r="Q361" s="2">
        <v>1445.1499999999999</v>
      </c>
      <c r="R361" s="2">
        <v>8873.9</v>
      </c>
      <c r="S361" s="2">
        <v>1058.05</v>
      </c>
      <c r="T361" s="2">
        <v>14176.766239999999</v>
      </c>
      <c r="U361" s="2">
        <v>2799.6662400000005</v>
      </c>
      <c r="V361" s="5">
        <v>0.19748271168503098</v>
      </c>
    </row>
    <row r="362" spans="1:22" x14ac:dyDescent="0.3">
      <c r="A362">
        <f t="shared" si="5"/>
        <v>361</v>
      </c>
      <c r="B362" t="s">
        <v>446</v>
      </c>
      <c r="C362" s="1">
        <v>45876</v>
      </c>
      <c r="D362" t="s">
        <v>35</v>
      </c>
      <c r="E362" s="6" t="s">
        <v>664</v>
      </c>
      <c r="F362" s="6" t="s">
        <v>63</v>
      </c>
      <c r="G362" s="6" t="s">
        <v>82</v>
      </c>
      <c r="H362" t="s">
        <v>15</v>
      </c>
      <c r="I362" s="6" t="s">
        <v>28</v>
      </c>
      <c r="J362" s="6" t="s">
        <v>17</v>
      </c>
      <c r="K362" s="6" t="s">
        <v>33</v>
      </c>
      <c r="L362" s="6" t="s">
        <v>79</v>
      </c>
      <c r="M362" s="12">
        <v>485</v>
      </c>
      <c r="N362" s="2">
        <v>64.75</v>
      </c>
      <c r="O362" s="4">
        <v>0.17249999999999999</v>
      </c>
      <c r="P362" s="2">
        <v>31403.75</v>
      </c>
      <c r="Q362" s="2">
        <v>2378.9499999999998</v>
      </c>
      <c r="R362" s="2">
        <v>15801.800000000001</v>
      </c>
      <c r="S362" s="2">
        <v>1585.8500000000001</v>
      </c>
      <c r="T362" s="2">
        <v>25986.603125000001</v>
      </c>
      <c r="U362" s="2">
        <v>6220.003125000002</v>
      </c>
      <c r="V362" s="5">
        <v>0.23935422013722701</v>
      </c>
    </row>
    <row r="363" spans="1:22" x14ac:dyDescent="0.3">
      <c r="A363">
        <f t="shared" si="5"/>
        <v>362</v>
      </c>
      <c r="B363" t="s">
        <v>447</v>
      </c>
      <c r="C363" s="1">
        <v>45798</v>
      </c>
      <c r="D363" t="s">
        <v>30</v>
      </c>
      <c r="E363" s="6" t="s">
        <v>664</v>
      </c>
      <c r="F363" s="6" t="s">
        <v>63</v>
      </c>
      <c r="G363" s="6" t="s">
        <v>64</v>
      </c>
      <c r="H363" t="s">
        <v>27</v>
      </c>
      <c r="I363" s="6" t="s">
        <v>28</v>
      </c>
      <c r="J363" s="6" t="s">
        <v>32</v>
      </c>
      <c r="K363" s="6" t="s">
        <v>18</v>
      </c>
      <c r="L363" s="6" t="s">
        <v>71</v>
      </c>
      <c r="M363" s="12">
        <v>270</v>
      </c>
      <c r="N363" s="2">
        <v>100.45</v>
      </c>
      <c r="O363" s="4">
        <v>7.9299999999999995E-2</v>
      </c>
      <c r="P363" s="2">
        <v>27121.5</v>
      </c>
      <c r="Q363" s="2">
        <v>1430.4499999999998</v>
      </c>
      <c r="R363" s="2">
        <v>11986.099999999999</v>
      </c>
      <c r="S363" s="2">
        <v>1378.3000000000002</v>
      </c>
      <c r="T363" s="2">
        <v>24970.765049999998</v>
      </c>
      <c r="U363" s="2">
        <v>10175.91505</v>
      </c>
      <c r="V363" s="5">
        <v>0.40751314705914471</v>
      </c>
    </row>
    <row r="364" spans="1:22" x14ac:dyDescent="0.3">
      <c r="A364">
        <f t="shared" si="5"/>
        <v>363</v>
      </c>
      <c r="B364" t="s">
        <v>448</v>
      </c>
      <c r="C364" s="1">
        <v>45908</v>
      </c>
      <c r="D364" t="s">
        <v>14</v>
      </c>
      <c r="E364" s="6" t="s">
        <v>662</v>
      </c>
      <c r="F364" s="6" t="s">
        <v>42</v>
      </c>
      <c r="G364" s="6" t="s">
        <v>39</v>
      </c>
      <c r="H364" t="s">
        <v>27</v>
      </c>
      <c r="I364" s="6" t="s">
        <v>28</v>
      </c>
      <c r="J364" s="6" t="s">
        <v>84</v>
      </c>
      <c r="K364" s="6" t="s">
        <v>48</v>
      </c>
      <c r="L364" s="6" t="s">
        <v>57</v>
      </c>
      <c r="M364" s="12">
        <v>244</v>
      </c>
      <c r="N364" s="2">
        <v>87.15</v>
      </c>
      <c r="O364" s="4">
        <v>0.18899999999999997</v>
      </c>
      <c r="P364" s="2">
        <v>21264.600000000002</v>
      </c>
      <c r="Q364" s="2">
        <v>2562.35</v>
      </c>
      <c r="R364" s="2">
        <v>12577.25</v>
      </c>
      <c r="S364" s="2">
        <v>1224.3</v>
      </c>
      <c r="T364" s="2">
        <v>17245.590600000003</v>
      </c>
      <c r="U364" s="2">
        <v>881.690600000004</v>
      </c>
      <c r="V364" s="5">
        <v>5.1125567134824822E-2</v>
      </c>
    </row>
    <row r="365" spans="1:22" x14ac:dyDescent="0.3">
      <c r="A365">
        <f t="shared" si="5"/>
        <v>364</v>
      </c>
      <c r="B365" t="s">
        <v>449</v>
      </c>
      <c r="C365" s="1">
        <v>45914</v>
      </c>
      <c r="D365" t="s">
        <v>14</v>
      </c>
      <c r="E365" s="6" t="s">
        <v>664</v>
      </c>
      <c r="F365" s="6" t="s">
        <v>63</v>
      </c>
      <c r="G365" s="6" t="s">
        <v>69</v>
      </c>
      <c r="H365" t="s">
        <v>15</v>
      </c>
      <c r="I365" s="6" t="s">
        <v>16</v>
      </c>
      <c r="J365" s="6" t="s">
        <v>36</v>
      </c>
      <c r="K365" s="6" t="s">
        <v>37</v>
      </c>
      <c r="L365" s="6" t="s">
        <v>38</v>
      </c>
      <c r="M365" s="12">
        <v>97</v>
      </c>
      <c r="N365" s="2">
        <v>81.199999999999989</v>
      </c>
      <c r="O365" s="4">
        <v>9.8900000000000002E-2</v>
      </c>
      <c r="P365" s="2">
        <v>7876.3999999999987</v>
      </c>
      <c r="Q365" s="2">
        <v>747.95</v>
      </c>
      <c r="R365" s="2">
        <v>3798.2</v>
      </c>
      <c r="S365" s="2">
        <v>505.05</v>
      </c>
      <c r="T365" s="2">
        <v>7097.424039999999</v>
      </c>
      <c r="U365" s="2">
        <v>2046.2240399999989</v>
      </c>
      <c r="V365" s="5">
        <v>0.28830516937804368</v>
      </c>
    </row>
    <row r="366" spans="1:22" x14ac:dyDescent="0.3">
      <c r="A366">
        <f t="shared" si="5"/>
        <v>365</v>
      </c>
      <c r="B366" t="s">
        <v>450</v>
      </c>
      <c r="C366" s="1">
        <v>45934</v>
      </c>
      <c r="D366" t="s">
        <v>20</v>
      </c>
      <c r="E366" s="6" t="s">
        <v>662</v>
      </c>
      <c r="F366" s="6" t="s">
        <v>66</v>
      </c>
      <c r="G366" s="6" t="s">
        <v>68</v>
      </c>
      <c r="H366" t="s">
        <v>27</v>
      </c>
      <c r="I366" s="6" t="s">
        <v>31</v>
      </c>
      <c r="J366" s="6" t="s">
        <v>32</v>
      </c>
      <c r="K366" s="6" t="s">
        <v>33</v>
      </c>
      <c r="L366" s="6" t="s">
        <v>34</v>
      </c>
      <c r="M366" s="12">
        <v>847</v>
      </c>
      <c r="N366" s="2">
        <v>102.2</v>
      </c>
      <c r="O366" s="4">
        <v>0.17050000000000001</v>
      </c>
      <c r="P366" s="2">
        <v>86563.400000000009</v>
      </c>
      <c r="Q366" s="2">
        <v>4207</v>
      </c>
      <c r="R366" s="2">
        <v>38674.300000000003</v>
      </c>
      <c r="S366" s="2">
        <v>3114.3</v>
      </c>
      <c r="T366" s="2">
        <v>71804.340300000011</v>
      </c>
      <c r="U366" s="2">
        <v>25808.740300000005</v>
      </c>
      <c r="V366" s="5">
        <v>0.35943147993798924</v>
      </c>
    </row>
    <row r="367" spans="1:22" x14ac:dyDescent="0.3">
      <c r="A367">
        <f t="shared" si="5"/>
        <v>366</v>
      </c>
      <c r="B367" t="s">
        <v>451</v>
      </c>
      <c r="C367" s="1">
        <v>45988</v>
      </c>
      <c r="D367" t="s">
        <v>67</v>
      </c>
      <c r="E367" s="6" t="s">
        <v>664</v>
      </c>
      <c r="F367" s="6" t="s">
        <v>63</v>
      </c>
      <c r="G367" s="6" t="s">
        <v>65</v>
      </c>
      <c r="H367" t="s">
        <v>15</v>
      </c>
      <c r="I367" s="6" t="s">
        <v>16</v>
      </c>
      <c r="J367" s="6" t="s">
        <v>45</v>
      </c>
      <c r="K367" s="6" t="s">
        <v>46</v>
      </c>
      <c r="L367" s="6" t="s">
        <v>81</v>
      </c>
      <c r="M367" s="12">
        <v>113</v>
      </c>
      <c r="N367" s="2">
        <v>160.65</v>
      </c>
      <c r="O367" s="4">
        <v>0.16079999999999997</v>
      </c>
      <c r="P367" s="2">
        <v>18153.45</v>
      </c>
      <c r="Q367" s="2">
        <v>2245.25</v>
      </c>
      <c r="R367" s="2">
        <v>8750</v>
      </c>
      <c r="S367" s="2">
        <v>1143.8</v>
      </c>
      <c r="T367" s="2">
        <v>15234.375240000001</v>
      </c>
      <c r="U367" s="2">
        <v>3095.3252400000019</v>
      </c>
      <c r="V367" s="5">
        <v>0.20318032024528246</v>
      </c>
    </row>
    <row r="368" spans="1:22" x14ac:dyDescent="0.3">
      <c r="A368">
        <f t="shared" si="5"/>
        <v>367</v>
      </c>
      <c r="B368" t="s">
        <v>452</v>
      </c>
      <c r="C368" s="1">
        <v>45761</v>
      </c>
      <c r="D368" t="s">
        <v>61</v>
      </c>
      <c r="E368" s="6" t="s">
        <v>664</v>
      </c>
      <c r="F368" s="6" t="s">
        <v>63</v>
      </c>
      <c r="G368" s="6" t="s">
        <v>43</v>
      </c>
      <c r="H368" t="s">
        <v>27</v>
      </c>
      <c r="I368" s="6" t="s">
        <v>31</v>
      </c>
      <c r="J368" s="6" t="s">
        <v>36</v>
      </c>
      <c r="K368" s="6" t="s">
        <v>48</v>
      </c>
      <c r="L368" s="6" t="s">
        <v>74</v>
      </c>
      <c r="M368" s="12">
        <v>615</v>
      </c>
      <c r="N368" s="2">
        <v>147</v>
      </c>
      <c r="O368" s="4">
        <v>0.16829999999999998</v>
      </c>
      <c r="P368" s="2">
        <v>90405</v>
      </c>
      <c r="Q368" s="2">
        <v>4662</v>
      </c>
      <c r="R368" s="2">
        <v>48849.15</v>
      </c>
      <c r="S368" s="2">
        <v>3767.4</v>
      </c>
      <c r="T368" s="2">
        <v>75189.838499999998</v>
      </c>
      <c r="U368" s="2">
        <v>17911.288500000002</v>
      </c>
      <c r="V368" s="5">
        <v>0.23821421693836997</v>
      </c>
    </row>
    <row r="369" spans="1:22" x14ac:dyDescent="0.3">
      <c r="A369">
        <f t="shared" si="5"/>
        <v>368</v>
      </c>
      <c r="B369" t="s">
        <v>453</v>
      </c>
      <c r="C369" s="1">
        <v>45978</v>
      </c>
      <c r="D369" t="s">
        <v>67</v>
      </c>
      <c r="E369" s="6" t="s">
        <v>662</v>
      </c>
      <c r="F369" s="6" t="s">
        <v>42</v>
      </c>
      <c r="G369" s="6" t="s">
        <v>22</v>
      </c>
      <c r="H369" t="s">
        <v>15</v>
      </c>
      <c r="I369" s="6" t="s">
        <v>23</v>
      </c>
      <c r="J369" s="6" t="s">
        <v>45</v>
      </c>
      <c r="K369" s="6" t="s">
        <v>18</v>
      </c>
      <c r="L369" s="6" t="s">
        <v>29</v>
      </c>
      <c r="M369" s="12">
        <v>11</v>
      </c>
      <c r="N369" s="2">
        <v>171.14999999999998</v>
      </c>
      <c r="O369" s="4">
        <v>0.15710000000000002</v>
      </c>
      <c r="P369" s="2">
        <v>1882.6499999999996</v>
      </c>
      <c r="Q369" s="2">
        <v>327.95</v>
      </c>
      <c r="R369" s="2">
        <v>897.75</v>
      </c>
      <c r="S369" s="2">
        <v>165.2</v>
      </c>
      <c r="T369" s="2">
        <v>1586.8856849999997</v>
      </c>
      <c r="U369" s="2">
        <v>195.98568499999971</v>
      </c>
      <c r="V369" s="5">
        <v>0.12350334170416298</v>
      </c>
    </row>
    <row r="370" spans="1:22" x14ac:dyDescent="0.3">
      <c r="A370">
        <f t="shared" si="5"/>
        <v>369</v>
      </c>
      <c r="B370" t="s">
        <v>454</v>
      </c>
      <c r="C370" s="1">
        <v>45674</v>
      </c>
      <c r="D370" t="s">
        <v>44</v>
      </c>
      <c r="E370" s="6" t="s">
        <v>664</v>
      </c>
      <c r="F370" s="6" t="s">
        <v>63</v>
      </c>
      <c r="G370" s="6" t="s">
        <v>64</v>
      </c>
      <c r="H370" t="s">
        <v>15</v>
      </c>
      <c r="I370" s="6" t="s">
        <v>16</v>
      </c>
      <c r="J370" s="6" t="s">
        <v>32</v>
      </c>
      <c r="K370" s="6" t="s">
        <v>48</v>
      </c>
      <c r="L370" s="6" t="s">
        <v>74</v>
      </c>
      <c r="M370" s="12">
        <v>95</v>
      </c>
      <c r="N370" s="2">
        <v>155.04999999999998</v>
      </c>
      <c r="O370" s="4">
        <v>7.5899999999999995E-2</v>
      </c>
      <c r="P370" s="2">
        <v>14729.749999999998</v>
      </c>
      <c r="Q370" s="2">
        <v>1637.3</v>
      </c>
      <c r="R370" s="2">
        <v>8242.5</v>
      </c>
      <c r="S370" s="2">
        <v>987</v>
      </c>
      <c r="T370" s="2">
        <v>13611.761974999999</v>
      </c>
      <c r="U370" s="2">
        <v>2744.9619749999993</v>
      </c>
      <c r="V370" s="5">
        <v>0.20166103257179527</v>
      </c>
    </row>
    <row r="371" spans="1:22" x14ac:dyDescent="0.3">
      <c r="A371">
        <f t="shared" si="5"/>
        <v>370</v>
      </c>
      <c r="B371" t="s">
        <v>455</v>
      </c>
      <c r="C371" s="1">
        <v>45751</v>
      </c>
      <c r="D371" t="s">
        <v>61</v>
      </c>
      <c r="E371" s="6" t="s">
        <v>663</v>
      </c>
      <c r="F371" s="6" t="s">
        <v>21</v>
      </c>
      <c r="G371" s="6" t="s">
        <v>22</v>
      </c>
      <c r="H371" t="s">
        <v>15</v>
      </c>
      <c r="I371" s="6" t="s">
        <v>23</v>
      </c>
      <c r="J371" s="6" t="s">
        <v>36</v>
      </c>
      <c r="K371" s="6" t="s">
        <v>48</v>
      </c>
      <c r="L371" s="6" t="s">
        <v>62</v>
      </c>
      <c r="M371" s="12">
        <v>30</v>
      </c>
      <c r="N371" s="2">
        <v>266.35000000000002</v>
      </c>
      <c r="O371" s="4">
        <v>6.4299999999999996E-2</v>
      </c>
      <c r="P371" s="2">
        <v>7990.5000000000009</v>
      </c>
      <c r="Q371" s="2">
        <v>1242.8499999999999</v>
      </c>
      <c r="R371" s="2">
        <v>5310.2</v>
      </c>
      <c r="S371" s="2">
        <v>744.1</v>
      </c>
      <c r="T371" s="2">
        <v>7476.7108500000004</v>
      </c>
      <c r="U371" s="2">
        <v>179.5608500000003</v>
      </c>
      <c r="V371" s="5">
        <v>2.4016021697562409E-2</v>
      </c>
    </row>
    <row r="372" spans="1:22" x14ac:dyDescent="0.3">
      <c r="A372">
        <f t="shared" si="5"/>
        <v>371</v>
      </c>
      <c r="B372" t="s">
        <v>456</v>
      </c>
      <c r="C372" s="1">
        <v>45664</v>
      </c>
      <c r="D372" t="s">
        <v>44</v>
      </c>
      <c r="E372" s="6" t="s">
        <v>662</v>
      </c>
      <c r="F372" s="6" t="s">
        <v>42</v>
      </c>
      <c r="G372" s="6" t="s">
        <v>65</v>
      </c>
      <c r="H372" t="s">
        <v>15</v>
      </c>
      <c r="I372" s="6" t="s">
        <v>28</v>
      </c>
      <c r="J372" s="6" t="s">
        <v>32</v>
      </c>
      <c r="K372" s="6" t="s">
        <v>33</v>
      </c>
      <c r="L372" s="6" t="s">
        <v>34</v>
      </c>
      <c r="M372" s="12">
        <v>229</v>
      </c>
      <c r="N372" s="2">
        <v>97.65</v>
      </c>
      <c r="O372" s="4">
        <v>5.1500000000000004E-2</v>
      </c>
      <c r="P372" s="2">
        <v>22361.850000000002</v>
      </c>
      <c r="Q372" s="2">
        <v>1526</v>
      </c>
      <c r="R372" s="2">
        <v>11280.5</v>
      </c>
      <c r="S372" s="2">
        <v>1115.8</v>
      </c>
      <c r="T372" s="2">
        <v>21210.214725000002</v>
      </c>
      <c r="U372" s="2">
        <v>7287.9147250000024</v>
      </c>
      <c r="V372" s="5">
        <v>0.34360400493305243</v>
      </c>
    </row>
    <row r="373" spans="1:22" x14ac:dyDescent="0.3">
      <c r="A373">
        <f t="shared" si="5"/>
        <v>372</v>
      </c>
      <c r="B373" t="s">
        <v>457</v>
      </c>
      <c r="C373" s="1">
        <v>45892</v>
      </c>
      <c r="D373" t="s">
        <v>35</v>
      </c>
      <c r="E373" s="6" t="s">
        <v>663</v>
      </c>
      <c r="F373" s="6" t="s">
        <v>21</v>
      </c>
      <c r="G373" s="6" t="s">
        <v>69</v>
      </c>
      <c r="H373" t="s">
        <v>15</v>
      </c>
      <c r="I373" s="6" t="s">
        <v>23</v>
      </c>
      <c r="J373" s="6" t="s">
        <v>24</v>
      </c>
      <c r="K373" s="6" t="s">
        <v>18</v>
      </c>
      <c r="L373" s="6" t="s">
        <v>59</v>
      </c>
      <c r="M373" s="12">
        <v>9</v>
      </c>
      <c r="N373" s="2">
        <v>228.9</v>
      </c>
      <c r="O373" s="4">
        <v>0.1115</v>
      </c>
      <c r="P373" s="2">
        <v>2060.1</v>
      </c>
      <c r="Q373" s="2">
        <v>313.95000000000005</v>
      </c>
      <c r="R373" s="2">
        <v>1077.6499999999999</v>
      </c>
      <c r="S373" s="2">
        <v>166.25</v>
      </c>
      <c r="T373" s="2">
        <v>1830.3988499999998</v>
      </c>
      <c r="U373" s="2">
        <v>272.5488499999999</v>
      </c>
      <c r="V373" s="5">
        <v>0.14890134464409216</v>
      </c>
    </row>
    <row r="374" spans="1:22" x14ac:dyDescent="0.3">
      <c r="A374">
        <f t="shared" si="5"/>
        <v>373</v>
      </c>
      <c r="B374" t="s">
        <v>458</v>
      </c>
      <c r="C374" s="1">
        <v>46007</v>
      </c>
      <c r="D374" t="s">
        <v>50</v>
      </c>
      <c r="E374" s="6" t="s">
        <v>664</v>
      </c>
      <c r="F374" s="6" t="s">
        <v>63</v>
      </c>
      <c r="G374" s="6" t="s">
        <v>69</v>
      </c>
      <c r="H374" t="s">
        <v>27</v>
      </c>
      <c r="I374" s="6" t="s">
        <v>31</v>
      </c>
      <c r="J374" s="6" t="s">
        <v>17</v>
      </c>
      <c r="K374" s="6" t="s">
        <v>46</v>
      </c>
      <c r="L374" s="6" t="s">
        <v>76</v>
      </c>
      <c r="M374" s="12">
        <v>227</v>
      </c>
      <c r="N374" s="2">
        <v>294.7</v>
      </c>
      <c r="O374" s="4">
        <v>0.20120000000000002</v>
      </c>
      <c r="P374" s="2">
        <v>66896.899999999994</v>
      </c>
      <c r="Q374" s="2">
        <v>4173.75</v>
      </c>
      <c r="R374" s="2">
        <v>31331.3</v>
      </c>
      <c r="S374" s="2">
        <v>2809.45</v>
      </c>
      <c r="T374" s="2">
        <v>53437.243719999991</v>
      </c>
      <c r="U374" s="2">
        <v>15122.743719999995</v>
      </c>
      <c r="V374" s="5">
        <v>0.28300007012412576</v>
      </c>
    </row>
    <row r="375" spans="1:22" x14ac:dyDescent="0.3">
      <c r="A375">
        <f t="shared" si="5"/>
        <v>374</v>
      </c>
      <c r="B375" t="s">
        <v>459</v>
      </c>
      <c r="C375" s="1">
        <v>45925</v>
      </c>
      <c r="D375" t="s">
        <v>14</v>
      </c>
      <c r="E375" s="6" t="s">
        <v>664</v>
      </c>
      <c r="F375" s="6" t="s">
        <v>63</v>
      </c>
      <c r="G375" s="6" t="s">
        <v>43</v>
      </c>
      <c r="H375" t="s">
        <v>27</v>
      </c>
      <c r="I375" s="6" t="s">
        <v>16</v>
      </c>
      <c r="J375" s="6" t="s">
        <v>32</v>
      </c>
      <c r="K375" s="6" t="s">
        <v>37</v>
      </c>
      <c r="L375" s="6" t="s">
        <v>75</v>
      </c>
      <c r="M375" s="12">
        <v>205</v>
      </c>
      <c r="N375" s="2">
        <v>126</v>
      </c>
      <c r="O375" s="4">
        <v>6.6299999999999998E-2</v>
      </c>
      <c r="P375" s="2">
        <v>25830</v>
      </c>
      <c r="Q375" s="2">
        <v>2037</v>
      </c>
      <c r="R375" s="2">
        <v>13197.1</v>
      </c>
      <c r="S375" s="2">
        <v>1854.3</v>
      </c>
      <c r="T375" s="2">
        <v>24117.470999999998</v>
      </c>
      <c r="U375" s="2">
        <v>7029.0709999999981</v>
      </c>
      <c r="V375" s="5">
        <v>0.29145141296116822</v>
      </c>
    </row>
    <row r="376" spans="1:22" x14ac:dyDescent="0.3">
      <c r="A376">
        <f t="shared" si="5"/>
        <v>375</v>
      </c>
      <c r="B376" t="s">
        <v>460</v>
      </c>
      <c r="C376" s="1">
        <v>45827</v>
      </c>
      <c r="D376" t="s">
        <v>58</v>
      </c>
      <c r="E376" s="6" t="s">
        <v>664</v>
      </c>
      <c r="F376" s="6" t="s">
        <v>63</v>
      </c>
      <c r="G376" s="6" t="s">
        <v>39</v>
      </c>
      <c r="H376" t="s">
        <v>15</v>
      </c>
      <c r="I376" s="6" t="s">
        <v>23</v>
      </c>
      <c r="J376" s="6" t="s">
        <v>52</v>
      </c>
      <c r="K376" s="6" t="s">
        <v>33</v>
      </c>
      <c r="L376" s="6" t="s">
        <v>53</v>
      </c>
      <c r="M376" s="12">
        <v>84</v>
      </c>
      <c r="N376" s="2">
        <v>72.100000000000009</v>
      </c>
      <c r="O376" s="4">
        <v>0.16079999999999997</v>
      </c>
      <c r="P376" s="2">
        <v>6056.4000000000005</v>
      </c>
      <c r="Q376" s="2">
        <v>942.55</v>
      </c>
      <c r="R376" s="2">
        <v>3399.5499999999997</v>
      </c>
      <c r="S376" s="2">
        <v>511.34999999999997</v>
      </c>
      <c r="T376" s="2">
        <v>5082.5308800000012</v>
      </c>
      <c r="U376" s="2">
        <v>229.08088000000112</v>
      </c>
      <c r="V376" s="5">
        <v>4.5072206231239087E-2</v>
      </c>
    </row>
    <row r="377" spans="1:22" x14ac:dyDescent="0.3">
      <c r="A377">
        <f t="shared" si="5"/>
        <v>376</v>
      </c>
      <c r="B377" t="s">
        <v>461</v>
      </c>
      <c r="C377" s="1">
        <v>45821</v>
      </c>
      <c r="D377" t="s">
        <v>58</v>
      </c>
      <c r="E377" s="6" t="s">
        <v>662</v>
      </c>
      <c r="F377" s="6" t="s">
        <v>42</v>
      </c>
      <c r="G377" s="6" t="s">
        <v>69</v>
      </c>
      <c r="H377" t="s">
        <v>27</v>
      </c>
      <c r="I377" s="6" t="s">
        <v>16</v>
      </c>
      <c r="J377" s="6" t="s">
        <v>32</v>
      </c>
      <c r="K377" s="6" t="s">
        <v>48</v>
      </c>
      <c r="L377" s="6" t="s">
        <v>54</v>
      </c>
      <c r="M377" s="12">
        <v>87</v>
      </c>
      <c r="N377" s="2">
        <v>73.149999999999991</v>
      </c>
      <c r="O377" s="4">
        <v>0.1177</v>
      </c>
      <c r="P377" s="2">
        <v>6364.0499999999993</v>
      </c>
      <c r="Q377" s="2">
        <v>507.84999999999997</v>
      </c>
      <c r="R377" s="2">
        <v>3634.4</v>
      </c>
      <c r="S377" s="2">
        <v>437.5</v>
      </c>
      <c r="T377" s="2">
        <v>5615.0013149999995</v>
      </c>
      <c r="U377" s="2">
        <v>1035.2513149999995</v>
      </c>
      <c r="V377" s="5">
        <v>0.18437240829034421</v>
      </c>
    </row>
    <row r="378" spans="1:22" x14ac:dyDescent="0.3">
      <c r="A378">
        <f t="shared" si="5"/>
        <v>377</v>
      </c>
      <c r="B378" t="s">
        <v>462</v>
      </c>
      <c r="C378" s="1">
        <v>45690</v>
      </c>
      <c r="D378" t="s">
        <v>55</v>
      </c>
      <c r="E378" s="6" t="s">
        <v>664</v>
      </c>
      <c r="F378" s="6" t="s">
        <v>63</v>
      </c>
      <c r="G378" s="6" t="s">
        <v>68</v>
      </c>
      <c r="H378" t="s">
        <v>27</v>
      </c>
      <c r="I378" s="6" t="s">
        <v>16</v>
      </c>
      <c r="J378" s="6" t="s">
        <v>32</v>
      </c>
      <c r="K378" s="6" t="s">
        <v>18</v>
      </c>
      <c r="L378" s="6" t="s">
        <v>25</v>
      </c>
      <c r="M378" s="12">
        <v>180</v>
      </c>
      <c r="N378" s="2">
        <v>102.89999999999999</v>
      </c>
      <c r="O378" s="4">
        <v>5.7699999999999994E-2</v>
      </c>
      <c r="P378" s="2">
        <v>18522</v>
      </c>
      <c r="Q378" s="2">
        <v>1736.35</v>
      </c>
      <c r="R378" s="2">
        <v>8377.6</v>
      </c>
      <c r="S378" s="2">
        <v>1113.7</v>
      </c>
      <c r="T378" s="2">
        <v>17453.280600000002</v>
      </c>
      <c r="U378" s="2">
        <v>6225.6306000000004</v>
      </c>
      <c r="V378" s="5">
        <v>0.35670260180197871</v>
      </c>
    </row>
    <row r="379" spans="1:22" x14ac:dyDescent="0.3">
      <c r="A379">
        <f t="shared" si="5"/>
        <v>378</v>
      </c>
      <c r="B379" t="s">
        <v>463</v>
      </c>
      <c r="C379" s="1">
        <v>45757</v>
      </c>
      <c r="D379" t="s">
        <v>61</v>
      </c>
      <c r="E379" s="6" t="s">
        <v>664</v>
      </c>
      <c r="F379" s="6" t="s">
        <v>63</v>
      </c>
      <c r="G379" s="6" t="s">
        <v>64</v>
      </c>
      <c r="H379" t="s">
        <v>27</v>
      </c>
      <c r="I379" s="6" t="s">
        <v>31</v>
      </c>
      <c r="J379" s="6" t="s">
        <v>32</v>
      </c>
      <c r="K379" s="6" t="s">
        <v>46</v>
      </c>
      <c r="L379" s="6" t="s">
        <v>76</v>
      </c>
      <c r="M379" s="12">
        <v>653</v>
      </c>
      <c r="N379" s="2">
        <v>259.35000000000002</v>
      </c>
      <c r="O379" s="4">
        <v>0.14130000000000001</v>
      </c>
      <c r="P379" s="2">
        <v>169355.55000000002</v>
      </c>
      <c r="Q379" s="2">
        <v>6413.4000000000005</v>
      </c>
      <c r="R379" s="2">
        <v>77796.25</v>
      </c>
      <c r="S379" s="2">
        <v>8285.5499999999993</v>
      </c>
      <c r="T379" s="2">
        <v>145425.61078500003</v>
      </c>
      <c r="U379" s="2">
        <v>52930.410785000036</v>
      </c>
      <c r="V379" s="5">
        <v>0.36396897698613317</v>
      </c>
    </row>
    <row r="380" spans="1:22" x14ac:dyDescent="0.3">
      <c r="A380">
        <f t="shared" si="5"/>
        <v>379</v>
      </c>
      <c r="B380" t="s">
        <v>464</v>
      </c>
      <c r="C380" s="1">
        <v>45725</v>
      </c>
      <c r="D380" t="s">
        <v>41</v>
      </c>
      <c r="E380" s="6" t="s">
        <v>663</v>
      </c>
      <c r="F380" s="6" t="s">
        <v>21</v>
      </c>
      <c r="G380" s="6" t="s">
        <v>68</v>
      </c>
      <c r="H380" t="s">
        <v>27</v>
      </c>
      <c r="I380" s="6" t="s">
        <v>16</v>
      </c>
      <c r="J380" s="6" t="s">
        <v>84</v>
      </c>
      <c r="K380" s="6" t="s">
        <v>48</v>
      </c>
      <c r="L380" s="6" t="s">
        <v>57</v>
      </c>
      <c r="M380" s="12">
        <v>120</v>
      </c>
      <c r="N380" s="2">
        <v>92.05</v>
      </c>
      <c r="O380" s="4">
        <v>0.2034</v>
      </c>
      <c r="P380" s="2">
        <v>11046</v>
      </c>
      <c r="Q380" s="2">
        <v>1779.05</v>
      </c>
      <c r="R380" s="2">
        <v>6420.75</v>
      </c>
      <c r="S380" s="2">
        <v>733.25</v>
      </c>
      <c r="T380" s="2">
        <v>8799.2435999999998</v>
      </c>
      <c r="U380" s="2">
        <v>-133.80640000000017</v>
      </c>
      <c r="V380" s="5">
        <v>-1.520657980192754E-2</v>
      </c>
    </row>
    <row r="381" spans="1:22" x14ac:dyDescent="0.3">
      <c r="A381">
        <f t="shared" si="5"/>
        <v>380</v>
      </c>
      <c r="B381" t="s">
        <v>465</v>
      </c>
      <c r="C381" s="1">
        <v>45778</v>
      </c>
      <c r="D381" t="s">
        <v>30</v>
      </c>
      <c r="E381" s="6" t="s">
        <v>663</v>
      </c>
      <c r="F381" s="6" t="s">
        <v>21</v>
      </c>
      <c r="G381" s="6" t="s">
        <v>22</v>
      </c>
      <c r="H381" t="s">
        <v>15</v>
      </c>
      <c r="I381" s="6" t="s">
        <v>28</v>
      </c>
      <c r="J381" s="6" t="s">
        <v>24</v>
      </c>
      <c r="K381" s="6" t="s">
        <v>37</v>
      </c>
      <c r="L381" s="6" t="s">
        <v>38</v>
      </c>
      <c r="M381" s="12">
        <v>208</v>
      </c>
      <c r="N381" s="2">
        <v>79.8</v>
      </c>
      <c r="O381" s="4">
        <v>8.7799999999999989E-2</v>
      </c>
      <c r="P381" s="2">
        <v>16598.399999999998</v>
      </c>
      <c r="Q381" s="2">
        <v>1114.4000000000001</v>
      </c>
      <c r="R381" s="2">
        <v>7267.75</v>
      </c>
      <c r="S381" s="2">
        <v>898.8</v>
      </c>
      <c r="T381" s="2">
        <v>15141.060479999998</v>
      </c>
      <c r="U381" s="2">
        <v>5860.1104799999994</v>
      </c>
      <c r="V381" s="5">
        <v>0.38703434860066022</v>
      </c>
    </row>
    <row r="382" spans="1:22" x14ac:dyDescent="0.3">
      <c r="A382">
        <f t="shared" si="5"/>
        <v>381</v>
      </c>
      <c r="B382" t="s">
        <v>466</v>
      </c>
      <c r="C382" s="1">
        <v>45827</v>
      </c>
      <c r="D382" t="s">
        <v>58</v>
      </c>
      <c r="E382" s="6" t="s">
        <v>662</v>
      </c>
      <c r="F382" s="6" t="s">
        <v>66</v>
      </c>
      <c r="G382" s="6" t="s">
        <v>82</v>
      </c>
      <c r="H382" t="s">
        <v>27</v>
      </c>
      <c r="I382" s="6" t="s">
        <v>16</v>
      </c>
      <c r="J382" s="6" t="s">
        <v>32</v>
      </c>
      <c r="K382" s="6" t="s">
        <v>46</v>
      </c>
      <c r="L382" s="6" t="s">
        <v>89</v>
      </c>
      <c r="M382" s="12">
        <v>256</v>
      </c>
      <c r="N382" s="2">
        <v>83.3</v>
      </c>
      <c r="O382" s="4">
        <v>5.1200000000000002E-2</v>
      </c>
      <c r="P382" s="2">
        <v>21324.799999999999</v>
      </c>
      <c r="Q382" s="2">
        <v>2091.6</v>
      </c>
      <c r="R382" s="2">
        <v>11075.050000000001</v>
      </c>
      <c r="S382" s="2">
        <v>1548.4</v>
      </c>
      <c r="T382" s="2">
        <v>20232.970239999999</v>
      </c>
      <c r="U382" s="2">
        <v>5517.9202399999958</v>
      </c>
      <c r="V382" s="5">
        <v>0.27271923867565556</v>
      </c>
    </row>
    <row r="383" spans="1:22" x14ac:dyDescent="0.3">
      <c r="A383">
        <f t="shared" si="5"/>
        <v>382</v>
      </c>
      <c r="B383" t="s">
        <v>467</v>
      </c>
      <c r="C383" s="1">
        <v>45717</v>
      </c>
      <c r="D383" t="s">
        <v>41</v>
      </c>
      <c r="E383" s="6" t="s">
        <v>663</v>
      </c>
      <c r="F383" s="6" t="s">
        <v>21</v>
      </c>
      <c r="G383" s="6" t="s">
        <v>39</v>
      </c>
      <c r="H383" t="s">
        <v>27</v>
      </c>
      <c r="I383" s="6" t="s">
        <v>28</v>
      </c>
      <c r="J383" s="6" t="s">
        <v>52</v>
      </c>
      <c r="K383" s="6" t="s">
        <v>46</v>
      </c>
      <c r="L383" s="6" t="s">
        <v>76</v>
      </c>
      <c r="M383" s="12">
        <v>296</v>
      </c>
      <c r="N383" s="2">
        <v>283.84999999999997</v>
      </c>
      <c r="O383" s="4">
        <v>0.20309999999999997</v>
      </c>
      <c r="P383" s="2">
        <v>84019.599999999991</v>
      </c>
      <c r="Q383" s="2">
        <v>8133.3</v>
      </c>
      <c r="R383" s="2">
        <v>38493.35</v>
      </c>
      <c r="S383" s="2">
        <v>3938.2</v>
      </c>
      <c r="T383" s="2">
        <v>66955.219239999991</v>
      </c>
      <c r="U383" s="2">
        <v>16390.369239999996</v>
      </c>
      <c r="V383" s="5">
        <v>0.24479599090324775</v>
      </c>
    </row>
    <row r="384" spans="1:22" x14ac:dyDescent="0.3">
      <c r="A384">
        <f t="shared" si="5"/>
        <v>383</v>
      </c>
      <c r="B384" t="s">
        <v>468</v>
      </c>
      <c r="C384" s="1">
        <v>45805</v>
      </c>
      <c r="D384" t="s">
        <v>30</v>
      </c>
      <c r="E384" s="6" t="s">
        <v>662</v>
      </c>
      <c r="F384" s="6" t="s">
        <v>66</v>
      </c>
      <c r="G384" s="6" t="s">
        <v>64</v>
      </c>
      <c r="H384" t="s">
        <v>27</v>
      </c>
      <c r="I384" s="6" t="s">
        <v>31</v>
      </c>
      <c r="J384" s="6" t="s">
        <v>24</v>
      </c>
      <c r="K384" s="6" t="s">
        <v>48</v>
      </c>
      <c r="L384" s="6" t="s">
        <v>54</v>
      </c>
      <c r="M384" s="12">
        <v>210</v>
      </c>
      <c r="N384" s="2">
        <v>82.95</v>
      </c>
      <c r="O384" s="4">
        <v>0.16449999999999998</v>
      </c>
      <c r="P384" s="2">
        <v>17419.5</v>
      </c>
      <c r="Q384" s="2">
        <v>1181.5999999999999</v>
      </c>
      <c r="R384" s="2">
        <v>9649.5</v>
      </c>
      <c r="S384" s="2">
        <v>722.75</v>
      </c>
      <c r="T384" s="2">
        <v>14553.992250000001</v>
      </c>
      <c r="U384" s="2">
        <v>3000.1422500000012</v>
      </c>
      <c r="V384" s="5">
        <v>0.2061387829858162</v>
      </c>
    </row>
    <row r="385" spans="1:22" x14ac:dyDescent="0.3">
      <c r="A385">
        <f t="shared" si="5"/>
        <v>384</v>
      </c>
      <c r="B385" t="s">
        <v>469</v>
      </c>
      <c r="C385" s="1">
        <v>46018</v>
      </c>
      <c r="D385" t="s">
        <v>50</v>
      </c>
      <c r="E385" s="6" t="s">
        <v>662</v>
      </c>
      <c r="F385" s="6" t="s">
        <v>42</v>
      </c>
      <c r="G385" s="6" t="s">
        <v>82</v>
      </c>
      <c r="H385" t="s">
        <v>27</v>
      </c>
      <c r="I385" s="6" t="s">
        <v>16</v>
      </c>
      <c r="J385" s="6" t="s">
        <v>32</v>
      </c>
      <c r="K385" s="6" t="s">
        <v>33</v>
      </c>
      <c r="L385" s="6" t="s">
        <v>70</v>
      </c>
      <c r="M385" s="12">
        <v>298</v>
      </c>
      <c r="N385" s="2">
        <v>106.05</v>
      </c>
      <c r="O385" s="4">
        <v>0.1419</v>
      </c>
      <c r="P385" s="2">
        <v>31602.899999999998</v>
      </c>
      <c r="Q385" s="2">
        <v>2604.35</v>
      </c>
      <c r="R385" s="2">
        <v>14867.3</v>
      </c>
      <c r="S385" s="2">
        <v>1965.6</v>
      </c>
      <c r="T385" s="2">
        <v>27118.448489999999</v>
      </c>
      <c r="U385" s="2">
        <v>7681.1984900000007</v>
      </c>
      <c r="V385" s="5">
        <v>0.28324623707113861</v>
      </c>
    </row>
    <row r="386" spans="1:22" x14ac:dyDescent="0.3">
      <c r="A386">
        <f t="shared" ref="A386:A449" si="6">ROW(B385)</f>
        <v>385</v>
      </c>
      <c r="B386" t="s">
        <v>470</v>
      </c>
      <c r="C386" s="1">
        <v>45740</v>
      </c>
      <c r="D386" t="s">
        <v>41</v>
      </c>
      <c r="E386" s="6" t="s">
        <v>662</v>
      </c>
      <c r="F386" s="6" t="s">
        <v>66</v>
      </c>
      <c r="G386" s="6" t="s">
        <v>82</v>
      </c>
      <c r="H386" t="s">
        <v>15</v>
      </c>
      <c r="I386" s="6" t="s">
        <v>23</v>
      </c>
      <c r="J386" s="6" t="s">
        <v>52</v>
      </c>
      <c r="K386" s="6" t="s">
        <v>48</v>
      </c>
      <c r="L386" s="6" t="s">
        <v>57</v>
      </c>
      <c r="M386" s="12">
        <v>65</v>
      </c>
      <c r="N386" s="2">
        <v>82.95</v>
      </c>
      <c r="O386" s="4">
        <v>0.13589999999999999</v>
      </c>
      <c r="P386" s="2">
        <v>5391.75</v>
      </c>
      <c r="Q386" s="2">
        <v>997.5</v>
      </c>
      <c r="R386" s="2">
        <v>3559.15</v>
      </c>
      <c r="S386" s="2">
        <v>547.75</v>
      </c>
      <c r="T386" s="2">
        <v>4659.0111749999996</v>
      </c>
      <c r="U386" s="2">
        <v>-445.38882500000045</v>
      </c>
      <c r="V386" s="5">
        <v>-9.5597286263216674E-2</v>
      </c>
    </row>
    <row r="387" spans="1:22" x14ac:dyDescent="0.3">
      <c r="A387">
        <f t="shared" si="6"/>
        <v>386</v>
      </c>
      <c r="B387" t="s">
        <v>471</v>
      </c>
      <c r="C387" s="1">
        <v>45987</v>
      </c>
      <c r="D387" t="s">
        <v>67</v>
      </c>
      <c r="E387" s="6" t="s">
        <v>663</v>
      </c>
      <c r="F387" s="6" t="s">
        <v>21</v>
      </c>
      <c r="G387" s="6" t="s">
        <v>39</v>
      </c>
      <c r="H387" t="s">
        <v>27</v>
      </c>
      <c r="I387" s="6" t="s">
        <v>16</v>
      </c>
      <c r="J387" s="6" t="s">
        <v>17</v>
      </c>
      <c r="K387" s="6" t="s">
        <v>48</v>
      </c>
      <c r="L387" s="6" t="s">
        <v>74</v>
      </c>
      <c r="M387" s="12">
        <v>302</v>
      </c>
      <c r="N387" s="2">
        <v>145.6</v>
      </c>
      <c r="O387" s="4">
        <v>0.12710000000000002</v>
      </c>
      <c r="P387" s="2">
        <v>43971.199999999997</v>
      </c>
      <c r="Q387" s="2">
        <v>6085.8</v>
      </c>
      <c r="R387" s="2">
        <v>24836.7</v>
      </c>
      <c r="S387" s="2">
        <v>2775.15</v>
      </c>
      <c r="T387" s="2">
        <v>38382.460479999994</v>
      </c>
      <c r="U387" s="2">
        <v>4684.8104799999919</v>
      </c>
      <c r="V387" s="5">
        <v>0.12205602302231544</v>
      </c>
    </row>
    <row r="388" spans="1:22" x14ac:dyDescent="0.3">
      <c r="A388">
        <f t="shared" si="6"/>
        <v>387</v>
      </c>
      <c r="B388" t="s">
        <v>472</v>
      </c>
      <c r="C388" s="1">
        <v>45954</v>
      </c>
      <c r="D388" t="s">
        <v>20</v>
      </c>
      <c r="E388" s="6" t="s">
        <v>662</v>
      </c>
      <c r="F388" s="6" t="s">
        <v>66</v>
      </c>
      <c r="G388" s="6" t="s">
        <v>39</v>
      </c>
      <c r="H388" t="s">
        <v>15</v>
      </c>
      <c r="I388" s="6" t="s">
        <v>16</v>
      </c>
      <c r="J388" s="6" t="s">
        <v>24</v>
      </c>
      <c r="K388" s="6" t="s">
        <v>48</v>
      </c>
      <c r="L388" s="6" t="s">
        <v>49</v>
      </c>
      <c r="M388" s="12">
        <v>114</v>
      </c>
      <c r="N388" s="2">
        <v>114.1</v>
      </c>
      <c r="O388" s="4">
        <v>9.7500000000000003E-2</v>
      </c>
      <c r="P388" s="2">
        <v>13007.4</v>
      </c>
      <c r="Q388" s="2">
        <v>1662.5</v>
      </c>
      <c r="R388" s="2">
        <v>7098</v>
      </c>
      <c r="S388" s="2">
        <v>982.8</v>
      </c>
      <c r="T388" s="2">
        <v>11739.1785</v>
      </c>
      <c r="U388" s="2">
        <v>1995.8785000000007</v>
      </c>
      <c r="V388" s="5">
        <v>0.17001858349798504</v>
      </c>
    </row>
    <row r="389" spans="1:22" x14ac:dyDescent="0.3">
      <c r="A389">
        <f t="shared" si="6"/>
        <v>388</v>
      </c>
      <c r="B389" t="s">
        <v>473</v>
      </c>
      <c r="C389" s="1">
        <v>46006</v>
      </c>
      <c r="D389" t="s">
        <v>50</v>
      </c>
      <c r="E389" s="6" t="s">
        <v>662</v>
      </c>
      <c r="F389" s="6" t="s">
        <v>42</v>
      </c>
      <c r="G389" s="6" t="s">
        <v>39</v>
      </c>
      <c r="H389" t="s">
        <v>15</v>
      </c>
      <c r="I389" s="6" t="s">
        <v>23</v>
      </c>
      <c r="J389" s="6" t="s">
        <v>17</v>
      </c>
      <c r="K389" s="6" t="s">
        <v>18</v>
      </c>
      <c r="L389" s="6" t="s">
        <v>19</v>
      </c>
      <c r="M389" s="12">
        <v>123</v>
      </c>
      <c r="N389" s="2">
        <v>190.75</v>
      </c>
      <c r="O389" s="4">
        <v>0.10730000000000001</v>
      </c>
      <c r="P389" s="2">
        <v>23462.25</v>
      </c>
      <c r="Q389" s="2">
        <v>3825.85</v>
      </c>
      <c r="R389" s="2">
        <v>11738.65</v>
      </c>
      <c r="S389" s="2">
        <v>2244.2000000000003</v>
      </c>
      <c r="T389" s="2">
        <v>20944.750575000002</v>
      </c>
      <c r="U389" s="2">
        <v>3136.0505750000016</v>
      </c>
      <c r="V389" s="5">
        <v>0.14972966919659778</v>
      </c>
    </row>
    <row r="390" spans="1:22" x14ac:dyDescent="0.3">
      <c r="A390">
        <f t="shared" si="6"/>
        <v>389</v>
      </c>
      <c r="B390" t="s">
        <v>474</v>
      </c>
      <c r="C390" s="1">
        <v>45758</v>
      </c>
      <c r="D390" t="s">
        <v>61</v>
      </c>
      <c r="E390" s="6" t="s">
        <v>662</v>
      </c>
      <c r="F390" s="6" t="s">
        <v>42</v>
      </c>
      <c r="G390" s="6" t="s">
        <v>69</v>
      </c>
      <c r="H390" t="s">
        <v>27</v>
      </c>
      <c r="I390" s="6" t="s">
        <v>31</v>
      </c>
      <c r="J390" s="6" t="s">
        <v>52</v>
      </c>
      <c r="K390" s="6" t="s">
        <v>18</v>
      </c>
      <c r="L390" s="6" t="s">
        <v>29</v>
      </c>
      <c r="M390" s="12">
        <v>628</v>
      </c>
      <c r="N390" s="2">
        <v>144.89999999999998</v>
      </c>
      <c r="O390" s="4">
        <v>0.15710000000000002</v>
      </c>
      <c r="P390" s="2">
        <v>90997.199999999983</v>
      </c>
      <c r="Q390" s="2">
        <v>8971.9</v>
      </c>
      <c r="R390" s="2">
        <v>43023.75</v>
      </c>
      <c r="S390" s="2">
        <v>3276.35</v>
      </c>
      <c r="T390" s="2">
        <v>76701.539879999982</v>
      </c>
      <c r="U390" s="2">
        <v>21429.539879999975</v>
      </c>
      <c r="V390" s="5">
        <v>0.27938865260758283</v>
      </c>
    </row>
    <row r="391" spans="1:22" x14ac:dyDescent="0.3">
      <c r="A391">
        <f t="shared" si="6"/>
        <v>390</v>
      </c>
      <c r="B391" t="s">
        <v>475</v>
      </c>
      <c r="C391" s="1">
        <v>45947</v>
      </c>
      <c r="D391" t="s">
        <v>20</v>
      </c>
      <c r="E391" s="6" t="s">
        <v>662</v>
      </c>
      <c r="F391" s="6" t="s">
        <v>66</v>
      </c>
      <c r="G391" s="6" t="s">
        <v>68</v>
      </c>
      <c r="H391" t="s">
        <v>15</v>
      </c>
      <c r="I391" s="6" t="s">
        <v>23</v>
      </c>
      <c r="J391" s="6" t="s">
        <v>24</v>
      </c>
      <c r="K391" s="6" t="s">
        <v>48</v>
      </c>
      <c r="L391" s="6" t="s">
        <v>54</v>
      </c>
      <c r="M391" s="12">
        <v>67</v>
      </c>
      <c r="N391" s="2">
        <v>91</v>
      </c>
      <c r="O391" s="4">
        <v>0.1041</v>
      </c>
      <c r="P391" s="2">
        <v>6097</v>
      </c>
      <c r="Q391" s="2">
        <v>1043.7</v>
      </c>
      <c r="R391" s="2">
        <v>3833.55</v>
      </c>
      <c r="S391" s="2">
        <v>570.5</v>
      </c>
      <c r="T391" s="2">
        <v>5462.3023000000003</v>
      </c>
      <c r="U391" s="2">
        <v>14.552300000000059</v>
      </c>
      <c r="V391" s="5">
        <v>2.6641330341603498E-3</v>
      </c>
    </row>
    <row r="392" spans="1:22" x14ac:dyDescent="0.3">
      <c r="A392">
        <f t="shared" si="6"/>
        <v>391</v>
      </c>
      <c r="B392" t="s">
        <v>476</v>
      </c>
      <c r="C392" s="1">
        <v>45889</v>
      </c>
      <c r="D392" t="s">
        <v>35</v>
      </c>
      <c r="E392" s="6" t="s">
        <v>664</v>
      </c>
      <c r="F392" s="6" t="s">
        <v>63</v>
      </c>
      <c r="G392" s="6" t="s">
        <v>43</v>
      </c>
      <c r="H392" t="s">
        <v>15</v>
      </c>
      <c r="I392" s="6" t="s">
        <v>16</v>
      </c>
      <c r="J392" s="6" t="s">
        <v>24</v>
      </c>
      <c r="K392" s="6" t="s">
        <v>37</v>
      </c>
      <c r="L392" s="6" t="s">
        <v>75</v>
      </c>
      <c r="M392" s="12">
        <v>169</v>
      </c>
      <c r="N392" s="2">
        <v>142.1</v>
      </c>
      <c r="O392" s="4">
        <v>0.11349999999999999</v>
      </c>
      <c r="P392" s="2">
        <v>24014.899999999998</v>
      </c>
      <c r="Q392" s="2">
        <v>2589.6499999999996</v>
      </c>
      <c r="R392" s="2">
        <v>11837.7</v>
      </c>
      <c r="S392" s="2">
        <v>1656.9</v>
      </c>
      <c r="T392" s="2">
        <v>21289.208849999999</v>
      </c>
      <c r="U392" s="2">
        <v>5204.9588499999973</v>
      </c>
      <c r="V392" s="5">
        <v>0.24448812948725418</v>
      </c>
    </row>
    <row r="393" spans="1:22" x14ac:dyDescent="0.3">
      <c r="A393">
        <f t="shared" si="6"/>
        <v>392</v>
      </c>
      <c r="B393" t="s">
        <v>477</v>
      </c>
      <c r="C393" s="1">
        <v>45675</v>
      </c>
      <c r="D393" t="s">
        <v>44</v>
      </c>
      <c r="E393" s="6" t="s">
        <v>662</v>
      </c>
      <c r="F393" s="6" t="s">
        <v>42</v>
      </c>
      <c r="G393" s="6" t="s">
        <v>69</v>
      </c>
      <c r="H393" t="s">
        <v>15</v>
      </c>
      <c r="I393" s="6" t="s">
        <v>23</v>
      </c>
      <c r="J393" s="6" t="s">
        <v>32</v>
      </c>
      <c r="K393" s="6" t="s">
        <v>33</v>
      </c>
      <c r="L393" s="6" t="s">
        <v>34</v>
      </c>
      <c r="M393" s="12">
        <v>102</v>
      </c>
      <c r="N393" s="2">
        <v>101.15</v>
      </c>
      <c r="O393" s="4">
        <v>6.3299999999999995E-2</v>
      </c>
      <c r="P393" s="2">
        <v>10317.300000000001</v>
      </c>
      <c r="Q393" s="2">
        <v>1683.15</v>
      </c>
      <c r="R393" s="2">
        <v>5150.5999999999995</v>
      </c>
      <c r="S393" s="2">
        <v>969.15000000000009</v>
      </c>
      <c r="T393" s="2">
        <v>9664.2149100000006</v>
      </c>
      <c r="U393" s="2">
        <v>1861.3149100000014</v>
      </c>
      <c r="V393" s="5">
        <v>0.19259866707579262</v>
      </c>
    </row>
    <row r="394" spans="1:22" x14ac:dyDescent="0.3">
      <c r="A394">
        <f t="shared" si="6"/>
        <v>393</v>
      </c>
      <c r="B394" t="s">
        <v>478</v>
      </c>
      <c r="C394" s="1">
        <v>45882</v>
      </c>
      <c r="D394" t="s">
        <v>35</v>
      </c>
      <c r="E394" s="6" t="s">
        <v>663</v>
      </c>
      <c r="F394" s="6" t="s">
        <v>21</v>
      </c>
      <c r="G394" s="6" t="s">
        <v>22</v>
      </c>
      <c r="H394" t="s">
        <v>27</v>
      </c>
      <c r="I394" s="6" t="s">
        <v>28</v>
      </c>
      <c r="J394" s="6" t="s">
        <v>84</v>
      </c>
      <c r="K394" s="6" t="s">
        <v>18</v>
      </c>
      <c r="L394" s="6" t="s">
        <v>25</v>
      </c>
      <c r="M394" s="12">
        <v>306</v>
      </c>
      <c r="N394" s="2">
        <v>91.7</v>
      </c>
      <c r="O394" s="4">
        <v>0.13220000000000001</v>
      </c>
      <c r="P394" s="2">
        <v>28060.2</v>
      </c>
      <c r="Q394" s="2">
        <v>3158.05</v>
      </c>
      <c r="R394" s="2">
        <v>11688.25</v>
      </c>
      <c r="S394" s="2">
        <v>1332.45</v>
      </c>
      <c r="T394" s="2">
        <v>24350.64156</v>
      </c>
      <c r="U394" s="2">
        <v>8171.8915599999991</v>
      </c>
      <c r="V394" s="5">
        <v>0.33559245409877403</v>
      </c>
    </row>
    <row r="395" spans="1:22" x14ac:dyDescent="0.3">
      <c r="A395">
        <f t="shared" si="6"/>
        <v>394</v>
      </c>
      <c r="B395" t="s">
        <v>479</v>
      </c>
      <c r="C395" s="1">
        <v>45695</v>
      </c>
      <c r="D395" t="s">
        <v>55</v>
      </c>
      <c r="E395" s="6" t="s">
        <v>664</v>
      </c>
      <c r="F395" s="6" t="s">
        <v>63</v>
      </c>
      <c r="G395" s="6" t="s">
        <v>68</v>
      </c>
      <c r="H395" t="s">
        <v>27</v>
      </c>
      <c r="I395" s="6" t="s">
        <v>16</v>
      </c>
      <c r="J395" s="6" t="s">
        <v>32</v>
      </c>
      <c r="K395" s="6" t="s">
        <v>48</v>
      </c>
      <c r="L395" s="6" t="s">
        <v>62</v>
      </c>
      <c r="M395" s="12">
        <v>156</v>
      </c>
      <c r="N395" s="2">
        <v>253.4</v>
      </c>
      <c r="O395" s="4">
        <v>8.3299999999999999E-2</v>
      </c>
      <c r="P395" s="2">
        <v>39530.400000000001</v>
      </c>
      <c r="Q395" s="2">
        <v>3665.8999999999996</v>
      </c>
      <c r="R395" s="2">
        <v>24003.7</v>
      </c>
      <c r="S395" s="2">
        <v>2621.85</v>
      </c>
      <c r="T395" s="2">
        <v>36237.517679999997</v>
      </c>
      <c r="U395" s="2">
        <v>5946.0676799999983</v>
      </c>
      <c r="V395" s="5">
        <v>0.16408595457634556</v>
      </c>
    </row>
    <row r="396" spans="1:22" x14ac:dyDescent="0.3">
      <c r="A396">
        <f t="shared" si="6"/>
        <v>395</v>
      </c>
      <c r="B396" t="s">
        <v>480</v>
      </c>
      <c r="C396" s="1">
        <v>45960</v>
      </c>
      <c r="D396" t="s">
        <v>20</v>
      </c>
      <c r="E396" s="6" t="s">
        <v>663</v>
      </c>
      <c r="F396" s="6" t="s">
        <v>21</v>
      </c>
      <c r="G396" s="6" t="s">
        <v>82</v>
      </c>
      <c r="H396" t="s">
        <v>15</v>
      </c>
      <c r="I396" s="6" t="s">
        <v>23</v>
      </c>
      <c r="J396" s="6" t="s">
        <v>32</v>
      </c>
      <c r="K396" s="6" t="s">
        <v>18</v>
      </c>
      <c r="L396" s="6" t="s">
        <v>29</v>
      </c>
      <c r="M396" s="12">
        <v>71</v>
      </c>
      <c r="N396" s="2">
        <v>164.15</v>
      </c>
      <c r="O396" s="4">
        <v>1.7500000000000002E-2</v>
      </c>
      <c r="P396" s="2">
        <v>11654.65</v>
      </c>
      <c r="Q396" s="2">
        <v>1363.95</v>
      </c>
      <c r="R396" s="2">
        <v>6180.6500000000005</v>
      </c>
      <c r="S396" s="2">
        <v>1266.6499999999999</v>
      </c>
      <c r="T396" s="2">
        <v>11450.693625</v>
      </c>
      <c r="U396" s="2">
        <v>2639.4436249999999</v>
      </c>
      <c r="V396" s="5">
        <v>0.23050513020777813</v>
      </c>
    </row>
    <row r="397" spans="1:22" x14ac:dyDescent="0.3">
      <c r="A397">
        <f t="shared" si="6"/>
        <v>396</v>
      </c>
      <c r="B397" t="s">
        <v>481</v>
      </c>
      <c r="C397" s="1">
        <v>45934</v>
      </c>
      <c r="D397" t="s">
        <v>20</v>
      </c>
      <c r="E397" s="6" t="s">
        <v>664</v>
      </c>
      <c r="F397" s="6" t="s">
        <v>63</v>
      </c>
      <c r="G397" s="6" t="s">
        <v>68</v>
      </c>
      <c r="H397" t="s">
        <v>15</v>
      </c>
      <c r="I397" s="6" t="s">
        <v>16</v>
      </c>
      <c r="J397" s="6" t="s">
        <v>45</v>
      </c>
      <c r="K397" s="6" t="s">
        <v>33</v>
      </c>
      <c r="L397" s="6" t="s">
        <v>34</v>
      </c>
      <c r="M397" s="12">
        <v>85</v>
      </c>
      <c r="N397" s="2">
        <v>101.85000000000001</v>
      </c>
      <c r="O397" s="4">
        <v>0.16089999999999999</v>
      </c>
      <c r="P397" s="2">
        <v>8657.25</v>
      </c>
      <c r="Q397" s="2">
        <v>1253.3500000000001</v>
      </c>
      <c r="R397" s="2">
        <v>4193.7</v>
      </c>
      <c r="S397" s="2">
        <v>521.15</v>
      </c>
      <c r="T397" s="2">
        <v>7264.2984749999996</v>
      </c>
      <c r="U397" s="2">
        <v>1296.098475</v>
      </c>
      <c r="V397" s="5">
        <v>0.1784203222734457</v>
      </c>
    </row>
    <row r="398" spans="1:22" x14ac:dyDescent="0.3">
      <c r="A398">
        <f t="shared" si="6"/>
        <v>397</v>
      </c>
      <c r="B398" t="s">
        <v>482</v>
      </c>
      <c r="C398" s="1">
        <v>45886</v>
      </c>
      <c r="D398" t="s">
        <v>35</v>
      </c>
      <c r="E398" s="6" t="s">
        <v>663</v>
      </c>
      <c r="F398" s="6" t="s">
        <v>21</v>
      </c>
      <c r="G398" s="6" t="s">
        <v>69</v>
      </c>
      <c r="H398" t="s">
        <v>27</v>
      </c>
      <c r="I398" s="6" t="s">
        <v>16</v>
      </c>
      <c r="J398" s="6" t="s">
        <v>17</v>
      </c>
      <c r="K398" s="6" t="s">
        <v>18</v>
      </c>
      <c r="L398" s="6" t="s">
        <v>71</v>
      </c>
      <c r="M398" s="12">
        <v>101</v>
      </c>
      <c r="N398" s="2">
        <v>96.95</v>
      </c>
      <c r="O398" s="4">
        <v>0.111</v>
      </c>
      <c r="P398" s="2">
        <v>9791.9500000000007</v>
      </c>
      <c r="Q398" s="2">
        <v>1142.0500000000002</v>
      </c>
      <c r="R398" s="2">
        <v>4692.8</v>
      </c>
      <c r="S398" s="2">
        <v>605.84999999999991</v>
      </c>
      <c r="T398" s="2">
        <v>8705.0435500000003</v>
      </c>
      <c r="U398" s="2">
        <v>2264.3435499999996</v>
      </c>
      <c r="V398" s="5">
        <v>0.26011857803973876</v>
      </c>
    </row>
    <row r="399" spans="1:22" x14ac:dyDescent="0.3">
      <c r="A399">
        <f t="shared" si="6"/>
        <v>398</v>
      </c>
      <c r="B399" t="s">
        <v>483</v>
      </c>
      <c r="C399" s="1">
        <v>45700</v>
      </c>
      <c r="D399" t="s">
        <v>55</v>
      </c>
      <c r="E399" s="6" t="s">
        <v>662</v>
      </c>
      <c r="F399" s="6" t="s">
        <v>66</v>
      </c>
      <c r="G399" s="6" t="s">
        <v>64</v>
      </c>
      <c r="H399" t="s">
        <v>27</v>
      </c>
      <c r="I399" s="6" t="s">
        <v>16</v>
      </c>
      <c r="J399" s="6" t="s">
        <v>52</v>
      </c>
      <c r="K399" s="6" t="s">
        <v>37</v>
      </c>
      <c r="L399" s="6" t="s">
        <v>77</v>
      </c>
      <c r="M399" s="12">
        <v>317</v>
      </c>
      <c r="N399" s="2">
        <v>183.75</v>
      </c>
      <c r="O399" s="4">
        <v>0.17129999999999998</v>
      </c>
      <c r="P399" s="2">
        <v>58248.75</v>
      </c>
      <c r="Q399" s="2">
        <v>8513.4</v>
      </c>
      <c r="R399" s="2">
        <v>27102.95</v>
      </c>
      <c r="S399" s="2">
        <v>3502.45</v>
      </c>
      <c r="T399" s="2">
        <v>48270.739125</v>
      </c>
      <c r="U399" s="2">
        <v>9151.9391250000026</v>
      </c>
      <c r="V399" s="5">
        <v>0.18959600144718114</v>
      </c>
    </row>
    <row r="400" spans="1:22" x14ac:dyDescent="0.3">
      <c r="A400">
        <f t="shared" si="6"/>
        <v>399</v>
      </c>
      <c r="B400" t="s">
        <v>484</v>
      </c>
      <c r="C400" s="1">
        <v>45822</v>
      </c>
      <c r="D400" t="s">
        <v>58</v>
      </c>
      <c r="E400" s="6" t="s">
        <v>662</v>
      </c>
      <c r="F400" s="6" t="s">
        <v>42</v>
      </c>
      <c r="G400" s="6" t="s">
        <v>68</v>
      </c>
      <c r="H400" t="s">
        <v>15</v>
      </c>
      <c r="I400" s="6" t="s">
        <v>23</v>
      </c>
      <c r="J400" s="6" t="s">
        <v>32</v>
      </c>
      <c r="K400" s="6" t="s">
        <v>48</v>
      </c>
      <c r="L400" s="6" t="s">
        <v>49</v>
      </c>
      <c r="M400" s="12">
        <v>59</v>
      </c>
      <c r="N400" s="2">
        <v>126.7</v>
      </c>
      <c r="O400" s="4">
        <v>4.1399999999999999E-2</v>
      </c>
      <c r="P400" s="2">
        <v>7475.3</v>
      </c>
      <c r="Q400" s="2">
        <v>973.7</v>
      </c>
      <c r="R400" s="2">
        <v>4139.8</v>
      </c>
      <c r="S400" s="2">
        <v>714</v>
      </c>
      <c r="T400" s="2">
        <v>7165.82258</v>
      </c>
      <c r="U400" s="2">
        <v>1338.3225799999998</v>
      </c>
      <c r="V400" s="5">
        <v>0.18676468263884924</v>
      </c>
    </row>
    <row r="401" spans="1:22" x14ac:dyDescent="0.3">
      <c r="A401">
        <f t="shared" si="6"/>
        <v>400</v>
      </c>
      <c r="B401" t="s">
        <v>485</v>
      </c>
      <c r="C401" s="1">
        <v>45946</v>
      </c>
      <c r="D401" t="s">
        <v>20</v>
      </c>
      <c r="E401" s="6" t="s">
        <v>663</v>
      </c>
      <c r="F401" s="6" t="s">
        <v>21</v>
      </c>
      <c r="G401" s="6" t="s">
        <v>65</v>
      </c>
      <c r="H401" t="s">
        <v>15</v>
      </c>
      <c r="I401" s="6" t="s">
        <v>23</v>
      </c>
      <c r="J401" s="6" t="s">
        <v>17</v>
      </c>
      <c r="K401" s="6" t="s">
        <v>18</v>
      </c>
      <c r="L401" s="6" t="s">
        <v>29</v>
      </c>
      <c r="M401" s="12">
        <v>13</v>
      </c>
      <c r="N401" s="2">
        <v>177.8</v>
      </c>
      <c r="O401" s="4">
        <v>9.2799999999999994E-2</v>
      </c>
      <c r="P401" s="2">
        <v>2311.4</v>
      </c>
      <c r="Q401" s="2">
        <v>296.45000000000005</v>
      </c>
      <c r="R401" s="2">
        <v>1068.2</v>
      </c>
      <c r="S401" s="2">
        <v>219.45</v>
      </c>
      <c r="T401" s="2">
        <v>2096.9020800000003</v>
      </c>
      <c r="U401" s="2">
        <v>512.80208000000016</v>
      </c>
      <c r="V401" s="5">
        <v>0.24455223011653462</v>
      </c>
    </row>
    <row r="402" spans="1:22" x14ac:dyDescent="0.3">
      <c r="A402">
        <f t="shared" si="6"/>
        <v>401</v>
      </c>
      <c r="B402" t="s">
        <v>486</v>
      </c>
      <c r="C402" s="1">
        <v>45735</v>
      </c>
      <c r="D402" t="s">
        <v>41</v>
      </c>
      <c r="E402" s="6" t="s">
        <v>663</v>
      </c>
      <c r="F402" s="6" t="s">
        <v>21</v>
      </c>
      <c r="G402" s="6" t="s">
        <v>82</v>
      </c>
      <c r="H402" t="s">
        <v>27</v>
      </c>
      <c r="I402" s="6" t="s">
        <v>16</v>
      </c>
      <c r="J402" s="6" t="s">
        <v>52</v>
      </c>
      <c r="K402" s="6" t="s">
        <v>48</v>
      </c>
      <c r="L402" s="6" t="s">
        <v>62</v>
      </c>
      <c r="M402" s="12">
        <v>290</v>
      </c>
      <c r="N402" s="2">
        <v>264.95</v>
      </c>
      <c r="O402" s="4">
        <v>0.2311</v>
      </c>
      <c r="P402" s="2">
        <v>76835.5</v>
      </c>
      <c r="Q402" s="2">
        <v>9403.8000000000011</v>
      </c>
      <c r="R402" s="2">
        <v>43737.4</v>
      </c>
      <c r="S402" s="2">
        <v>4772.95</v>
      </c>
      <c r="T402" s="2">
        <v>59078.815950000004</v>
      </c>
      <c r="U402" s="2">
        <v>1164.6659500000042</v>
      </c>
      <c r="V402" s="5">
        <v>1.9713765945913547E-2</v>
      </c>
    </row>
    <row r="403" spans="1:22" x14ac:dyDescent="0.3">
      <c r="A403">
        <f t="shared" si="6"/>
        <v>402</v>
      </c>
      <c r="B403" t="s">
        <v>487</v>
      </c>
      <c r="C403" s="1">
        <v>45924</v>
      </c>
      <c r="D403" t="s">
        <v>14</v>
      </c>
      <c r="E403" s="6" t="s">
        <v>662</v>
      </c>
      <c r="F403" s="6" t="s">
        <v>42</v>
      </c>
      <c r="G403" s="6" t="s">
        <v>39</v>
      </c>
      <c r="H403" t="s">
        <v>15</v>
      </c>
      <c r="I403" s="6" t="s">
        <v>16</v>
      </c>
      <c r="J403" s="6" t="s">
        <v>24</v>
      </c>
      <c r="K403" s="6" t="s">
        <v>37</v>
      </c>
      <c r="L403" s="6" t="s">
        <v>77</v>
      </c>
      <c r="M403" s="12">
        <v>204</v>
      </c>
      <c r="N403" s="2">
        <v>162.75</v>
      </c>
      <c r="O403" s="4">
        <v>0.14130000000000001</v>
      </c>
      <c r="P403" s="2">
        <v>33201</v>
      </c>
      <c r="Q403" s="2">
        <v>4363.0999999999995</v>
      </c>
      <c r="R403" s="2">
        <v>16190.65</v>
      </c>
      <c r="S403" s="2">
        <v>1941.45</v>
      </c>
      <c r="T403" s="2">
        <v>28509.698700000001</v>
      </c>
      <c r="U403" s="2">
        <v>6014.498700000001</v>
      </c>
      <c r="V403" s="5">
        <v>0.21096325020088694</v>
      </c>
    </row>
    <row r="404" spans="1:22" x14ac:dyDescent="0.3">
      <c r="A404">
        <f t="shared" si="6"/>
        <v>403</v>
      </c>
      <c r="B404" t="s">
        <v>488</v>
      </c>
      <c r="C404" s="1">
        <v>45799</v>
      </c>
      <c r="D404" t="s">
        <v>30</v>
      </c>
      <c r="E404" s="6" t="s">
        <v>663</v>
      </c>
      <c r="F404" s="6" t="s">
        <v>21</v>
      </c>
      <c r="G404" s="6" t="s">
        <v>65</v>
      </c>
      <c r="H404" t="s">
        <v>15</v>
      </c>
      <c r="I404" s="6" t="s">
        <v>23</v>
      </c>
      <c r="J404" s="6" t="s">
        <v>32</v>
      </c>
      <c r="K404" s="6" t="s">
        <v>48</v>
      </c>
      <c r="L404" s="6" t="s">
        <v>74</v>
      </c>
      <c r="M404" s="12">
        <v>103</v>
      </c>
      <c r="N404" s="2">
        <v>156.1</v>
      </c>
      <c r="O404" s="4">
        <v>4.6500000000000007E-2</v>
      </c>
      <c r="P404" s="2">
        <v>16078.3</v>
      </c>
      <c r="Q404" s="2">
        <v>2594.5499999999997</v>
      </c>
      <c r="R404" s="2">
        <v>10270.75</v>
      </c>
      <c r="S404" s="2">
        <v>1716.3999999999999</v>
      </c>
      <c r="T404" s="2">
        <v>15330.65905</v>
      </c>
      <c r="U404" s="2">
        <v>748.95905000000084</v>
      </c>
      <c r="V404" s="5">
        <v>4.8853675993792374E-2</v>
      </c>
    </row>
    <row r="405" spans="1:22" x14ac:dyDescent="0.3">
      <c r="A405">
        <f t="shared" si="6"/>
        <v>404</v>
      </c>
      <c r="B405" t="s">
        <v>489</v>
      </c>
      <c r="C405" s="1">
        <v>45973</v>
      </c>
      <c r="D405" t="s">
        <v>67</v>
      </c>
      <c r="E405" s="6" t="s">
        <v>662</v>
      </c>
      <c r="F405" s="6" t="s">
        <v>42</v>
      </c>
      <c r="G405" s="6" t="s">
        <v>69</v>
      </c>
      <c r="H405" t="s">
        <v>27</v>
      </c>
      <c r="I405" s="6" t="s">
        <v>16</v>
      </c>
      <c r="J405" s="6" t="s">
        <v>45</v>
      </c>
      <c r="K405" s="6" t="s">
        <v>46</v>
      </c>
      <c r="L405" s="6" t="s">
        <v>81</v>
      </c>
      <c r="M405" s="12">
        <v>81</v>
      </c>
      <c r="N405" s="2">
        <v>147.35</v>
      </c>
      <c r="O405" s="4">
        <v>0.1709</v>
      </c>
      <c r="P405" s="2">
        <v>11935.35</v>
      </c>
      <c r="Q405" s="2">
        <v>1545.6</v>
      </c>
      <c r="R405" s="2">
        <v>5039.2999999999993</v>
      </c>
      <c r="S405" s="2">
        <v>866.25</v>
      </c>
      <c r="T405" s="2">
        <v>9895.598684999999</v>
      </c>
      <c r="U405" s="2">
        <v>2444.4486849999998</v>
      </c>
      <c r="V405" s="5">
        <v>0.24702382976639478</v>
      </c>
    </row>
    <row r="406" spans="1:22" x14ac:dyDescent="0.3">
      <c r="A406">
        <f t="shared" si="6"/>
        <v>405</v>
      </c>
      <c r="B406" t="s">
        <v>490</v>
      </c>
      <c r="C406" s="1">
        <v>45722</v>
      </c>
      <c r="D406" t="s">
        <v>41</v>
      </c>
      <c r="E406" s="6" t="s">
        <v>663</v>
      </c>
      <c r="F406" s="6" t="s">
        <v>21</v>
      </c>
      <c r="G406" s="6" t="s">
        <v>43</v>
      </c>
      <c r="H406" t="s">
        <v>27</v>
      </c>
      <c r="I406" s="6" t="s">
        <v>28</v>
      </c>
      <c r="J406" s="6" t="s">
        <v>32</v>
      </c>
      <c r="K406" s="6" t="s">
        <v>33</v>
      </c>
      <c r="L406" s="6" t="s">
        <v>78</v>
      </c>
      <c r="M406" s="12">
        <v>331</v>
      </c>
      <c r="N406" s="2">
        <v>85.399999999999991</v>
      </c>
      <c r="O406" s="4">
        <v>0.12789999999999999</v>
      </c>
      <c r="P406" s="2">
        <v>28267.399999999998</v>
      </c>
      <c r="Q406" s="2">
        <v>1856.05</v>
      </c>
      <c r="R406" s="2">
        <v>14722.75</v>
      </c>
      <c r="S406" s="2">
        <v>1338.4</v>
      </c>
      <c r="T406" s="2">
        <v>24651.999539999997</v>
      </c>
      <c r="U406" s="2">
        <v>6734.7995399999954</v>
      </c>
      <c r="V406" s="5">
        <v>0.27319485906496965</v>
      </c>
    </row>
    <row r="407" spans="1:22" x14ac:dyDescent="0.3">
      <c r="A407">
        <f t="shared" si="6"/>
        <v>406</v>
      </c>
      <c r="B407" t="s">
        <v>491</v>
      </c>
      <c r="C407" s="1">
        <v>45934</v>
      </c>
      <c r="D407" t="s">
        <v>20</v>
      </c>
      <c r="E407" s="6" t="s">
        <v>662</v>
      </c>
      <c r="F407" s="6" t="s">
        <v>42</v>
      </c>
      <c r="G407" s="6" t="s">
        <v>43</v>
      </c>
      <c r="H407" t="s">
        <v>27</v>
      </c>
      <c r="I407" s="6" t="s">
        <v>28</v>
      </c>
      <c r="J407" s="6" t="s">
        <v>24</v>
      </c>
      <c r="K407" s="6" t="s">
        <v>37</v>
      </c>
      <c r="L407" s="6" t="s">
        <v>60</v>
      </c>
      <c r="M407" s="12">
        <v>240</v>
      </c>
      <c r="N407" s="2">
        <v>165.9</v>
      </c>
      <c r="O407" s="4">
        <v>0.14410000000000001</v>
      </c>
      <c r="P407" s="2">
        <v>39816</v>
      </c>
      <c r="Q407" s="2">
        <v>3558.8</v>
      </c>
      <c r="R407" s="2">
        <v>19750.149999999998</v>
      </c>
      <c r="S407" s="2">
        <v>1752.45</v>
      </c>
      <c r="T407" s="2">
        <v>34078.5144</v>
      </c>
      <c r="U407" s="2">
        <v>9017.1144000000022</v>
      </c>
      <c r="V407" s="5">
        <v>0.26459822438738712</v>
      </c>
    </row>
    <row r="408" spans="1:22" x14ac:dyDescent="0.3">
      <c r="A408">
        <f t="shared" si="6"/>
        <v>407</v>
      </c>
      <c r="B408" t="s">
        <v>492</v>
      </c>
      <c r="C408" s="1">
        <v>45766</v>
      </c>
      <c r="D408" t="s">
        <v>61</v>
      </c>
      <c r="E408" s="6" t="s">
        <v>664</v>
      </c>
      <c r="F408" s="6" t="s">
        <v>63</v>
      </c>
      <c r="G408" s="6" t="s">
        <v>69</v>
      </c>
      <c r="H408" t="s">
        <v>27</v>
      </c>
      <c r="I408" s="6" t="s">
        <v>28</v>
      </c>
      <c r="J408" s="6" t="s">
        <v>32</v>
      </c>
      <c r="K408" s="6" t="s">
        <v>46</v>
      </c>
      <c r="L408" s="6" t="s">
        <v>76</v>
      </c>
      <c r="M408" s="12">
        <v>492</v>
      </c>
      <c r="N408" s="2">
        <v>285.95</v>
      </c>
      <c r="O408" s="4">
        <v>0.10249999999999999</v>
      </c>
      <c r="P408" s="2">
        <v>140687.4</v>
      </c>
      <c r="Q408" s="2">
        <v>6532.05</v>
      </c>
      <c r="R408" s="2">
        <v>69962.55</v>
      </c>
      <c r="S408" s="2">
        <v>7799.75</v>
      </c>
      <c r="T408" s="2">
        <v>126266.94149999999</v>
      </c>
      <c r="U408" s="2">
        <v>41972.59149999998</v>
      </c>
      <c r="V408" s="5">
        <v>0.33241156395635024</v>
      </c>
    </row>
    <row r="409" spans="1:22" x14ac:dyDescent="0.3">
      <c r="A409">
        <f t="shared" si="6"/>
        <v>408</v>
      </c>
      <c r="B409" t="s">
        <v>493</v>
      </c>
      <c r="C409" s="1">
        <v>45898</v>
      </c>
      <c r="D409" t="s">
        <v>35</v>
      </c>
      <c r="E409" s="6" t="s">
        <v>662</v>
      </c>
      <c r="F409" s="6" t="s">
        <v>66</v>
      </c>
      <c r="G409" s="6" t="s">
        <v>69</v>
      </c>
      <c r="H409" t="s">
        <v>15</v>
      </c>
      <c r="I409" s="6" t="s">
        <v>28</v>
      </c>
      <c r="J409" s="6" t="s">
        <v>32</v>
      </c>
      <c r="K409" s="6" t="s">
        <v>18</v>
      </c>
      <c r="L409" s="6" t="s">
        <v>19</v>
      </c>
      <c r="M409" s="12">
        <v>296</v>
      </c>
      <c r="N409" s="2">
        <v>187.60000000000002</v>
      </c>
      <c r="O409" s="4">
        <v>9.5100000000000004E-2</v>
      </c>
      <c r="P409" s="2">
        <v>55529.600000000006</v>
      </c>
      <c r="Q409" s="2">
        <v>2403.1</v>
      </c>
      <c r="R409" s="2">
        <v>29260</v>
      </c>
      <c r="S409" s="2">
        <v>2829.75</v>
      </c>
      <c r="T409" s="2">
        <v>50248.735040000007</v>
      </c>
      <c r="U409" s="2">
        <v>15755.885040000006</v>
      </c>
      <c r="V409" s="5">
        <v>0.31355784434091111</v>
      </c>
    </row>
    <row r="410" spans="1:22" x14ac:dyDescent="0.3">
      <c r="A410">
        <f t="shared" si="6"/>
        <v>409</v>
      </c>
      <c r="B410" t="s">
        <v>494</v>
      </c>
      <c r="C410" s="1">
        <v>45704</v>
      </c>
      <c r="D410" t="s">
        <v>55</v>
      </c>
      <c r="E410" s="6" t="s">
        <v>664</v>
      </c>
      <c r="F410" s="6" t="s">
        <v>63</v>
      </c>
      <c r="G410" s="6" t="s">
        <v>64</v>
      </c>
      <c r="H410" t="s">
        <v>15</v>
      </c>
      <c r="I410" s="6" t="s">
        <v>23</v>
      </c>
      <c r="J410" s="6" t="s">
        <v>84</v>
      </c>
      <c r="K410" s="6" t="s">
        <v>48</v>
      </c>
      <c r="L410" s="6" t="s">
        <v>54</v>
      </c>
      <c r="M410" s="12">
        <v>118</v>
      </c>
      <c r="N410" s="2">
        <v>77.7</v>
      </c>
      <c r="O410" s="4">
        <v>9.820000000000001E-2</v>
      </c>
      <c r="P410" s="2">
        <v>9168.6</v>
      </c>
      <c r="Q410" s="2">
        <v>1772.4</v>
      </c>
      <c r="R410" s="2">
        <v>6076.7</v>
      </c>
      <c r="S410" s="2">
        <v>954.80000000000007</v>
      </c>
      <c r="T410" s="2">
        <v>8268.2434799999992</v>
      </c>
      <c r="U410" s="2">
        <v>-535.65652000000091</v>
      </c>
      <c r="V410" s="5">
        <v>-6.4784802394329224E-2</v>
      </c>
    </row>
    <row r="411" spans="1:22" x14ac:dyDescent="0.3">
      <c r="A411">
        <f t="shared" si="6"/>
        <v>410</v>
      </c>
      <c r="B411" t="s">
        <v>495</v>
      </c>
      <c r="C411" s="1">
        <v>45682</v>
      </c>
      <c r="D411" t="s">
        <v>44</v>
      </c>
      <c r="E411" s="6" t="s">
        <v>663</v>
      </c>
      <c r="F411" s="6" t="s">
        <v>21</v>
      </c>
      <c r="G411" s="6" t="s">
        <v>68</v>
      </c>
      <c r="H411" t="s">
        <v>15</v>
      </c>
      <c r="I411" s="6" t="s">
        <v>23</v>
      </c>
      <c r="J411" s="6" t="s">
        <v>32</v>
      </c>
      <c r="K411" s="6" t="s">
        <v>33</v>
      </c>
      <c r="L411" s="6" t="s">
        <v>70</v>
      </c>
      <c r="M411" s="12">
        <v>17</v>
      </c>
      <c r="N411" s="2">
        <v>110.60000000000001</v>
      </c>
      <c r="O411" s="4">
        <v>8.8699999999999987E-2</v>
      </c>
      <c r="P411" s="2">
        <v>1880.2</v>
      </c>
      <c r="Q411" s="2">
        <v>299.95</v>
      </c>
      <c r="R411" s="2">
        <v>940.1</v>
      </c>
      <c r="S411" s="2">
        <v>175.35</v>
      </c>
      <c r="T411" s="2">
        <v>1713.42626</v>
      </c>
      <c r="U411" s="2">
        <v>298.02626000000004</v>
      </c>
      <c r="V411" s="5">
        <v>0.17393585411723528</v>
      </c>
    </row>
    <row r="412" spans="1:22" x14ac:dyDescent="0.3">
      <c r="A412">
        <f t="shared" si="6"/>
        <v>411</v>
      </c>
      <c r="B412" t="s">
        <v>496</v>
      </c>
      <c r="C412" s="1">
        <v>45903</v>
      </c>
      <c r="D412" t="s">
        <v>14</v>
      </c>
      <c r="E412" s="6" t="s">
        <v>664</v>
      </c>
      <c r="F412" s="6" t="s">
        <v>63</v>
      </c>
      <c r="G412" s="6" t="s">
        <v>22</v>
      </c>
      <c r="H412" t="s">
        <v>27</v>
      </c>
      <c r="I412" s="6" t="s">
        <v>16</v>
      </c>
      <c r="J412" s="6" t="s">
        <v>32</v>
      </c>
      <c r="K412" s="6" t="s">
        <v>37</v>
      </c>
      <c r="L412" s="6" t="s">
        <v>60</v>
      </c>
      <c r="M412" s="12">
        <v>137</v>
      </c>
      <c r="N412" s="2">
        <v>165.9</v>
      </c>
      <c r="O412" s="4">
        <v>0.12300000000000001</v>
      </c>
      <c r="P412" s="2">
        <v>22728.3</v>
      </c>
      <c r="Q412" s="2">
        <v>1676.15</v>
      </c>
      <c r="R412" s="2">
        <v>12266.45</v>
      </c>
      <c r="S412" s="2">
        <v>1512.3500000000001</v>
      </c>
      <c r="T412" s="2">
        <v>19932.719099999998</v>
      </c>
      <c r="U412" s="2">
        <v>4477.7690999999995</v>
      </c>
      <c r="V412" s="5">
        <v>0.22464416809044382</v>
      </c>
    </row>
    <row r="413" spans="1:22" x14ac:dyDescent="0.3">
      <c r="A413">
        <f t="shared" si="6"/>
        <v>412</v>
      </c>
      <c r="B413" t="s">
        <v>497</v>
      </c>
      <c r="C413" s="1">
        <v>45776</v>
      </c>
      <c r="D413" t="s">
        <v>61</v>
      </c>
      <c r="E413" s="6" t="s">
        <v>662</v>
      </c>
      <c r="F413" s="6" t="s">
        <v>66</v>
      </c>
      <c r="G413" s="6" t="s">
        <v>43</v>
      </c>
      <c r="H413" t="s">
        <v>27</v>
      </c>
      <c r="I413" s="6" t="s">
        <v>28</v>
      </c>
      <c r="J413" s="6" t="s">
        <v>32</v>
      </c>
      <c r="K413" s="6" t="s">
        <v>37</v>
      </c>
      <c r="L413" s="6" t="s">
        <v>38</v>
      </c>
      <c r="M413" s="12">
        <v>533</v>
      </c>
      <c r="N413" s="2">
        <v>73.849999999999994</v>
      </c>
      <c r="O413" s="4">
        <v>0.1643</v>
      </c>
      <c r="P413" s="2">
        <v>39362.049999999996</v>
      </c>
      <c r="Q413" s="2">
        <v>1760.5</v>
      </c>
      <c r="R413" s="2">
        <v>15789.55</v>
      </c>
      <c r="S413" s="2">
        <v>2002.3500000000001</v>
      </c>
      <c r="T413" s="2">
        <v>32894.865184999995</v>
      </c>
      <c r="U413" s="2">
        <v>13342.465184999997</v>
      </c>
      <c r="V413" s="5">
        <v>0.40560935908878992</v>
      </c>
    </row>
    <row r="414" spans="1:22" x14ac:dyDescent="0.3">
      <c r="A414">
        <f t="shared" si="6"/>
        <v>413</v>
      </c>
      <c r="B414" t="s">
        <v>498</v>
      </c>
      <c r="C414" s="1">
        <v>45858</v>
      </c>
      <c r="D414" t="s">
        <v>26</v>
      </c>
      <c r="E414" s="6" t="s">
        <v>663</v>
      </c>
      <c r="F414" s="6" t="s">
        <v>21</v>
      </c>
      <c r="G414" s="6" t="s">
        <v>69</v>
      </c>
      <c r="H414" t="s">
        <v>15</v>
      </c>
      <c r="I414" s="6" t="s">
        <v>23</v>
      </c>
      <c r="J414" s="6" t="s">
        <v>32</v>
      </c>
      <c r="K414" s="6" t="s">
        <v>48</v>
      </c>
      <c r="L414" s="6" t="s">
        <v>62</v>
      </c>
      <c r="M414" s="12">
        <v>60</v>
      </c>
      <c r="N414" s="2">
        <v>277.55</v>
      </c>
      <c r="O414" s="4">
        <v>8.4499999999999992E-2</v>
      </c>
      <c r="P414" s="2">
        <v>16653</v>
      </c>
      <c r="Q414" s="2">
        <v>1842.75</v>
      </c>
      <c r="R414" s="2">
        <v>10447.5</v>
      </c>
      <c r="S414" s="2">
        <v>1540</v>
      </c>
      <c r="T414" s="2">
        <v>15245.8215</v>
      </c>
      <c r="U414" s="2">
        <v>1415.5715</v>
      </c>
      <c r="V414" s="5">
        <v>9.2849801501349069E-2</v>
      </c>
    </row>
    <row r="415" spans="1:22" x14ac:dyDescent="0.3">
      <c r="A415">
        <f t="shared" si="6"/>
        <v>414</v>
      </c>
      <c r="B415" t="s">
        <v>499</v>
      </c>
      <c r="C415" s="1">
        <v>45827</v>
      </c>
      <c r="D415" t="s">
        <v>58</v>
      </c>
      <c r="E415" s="6" t="s">
        <v>664</v>
      </c>
      <c r="F415" s="6" t="s">
        <v>63</v>
      </c>
      <c r="G415" s="6" t="s">
        <v>39</v>
      </c>
      <c r="H415" t="s">
        <v>27</v>
      </c>
      <c r="I415" s="6" t="s">
        <v>28</v>
      </c>
      <c r="J415" s="6" t="s">
        <v>17</v>
      </c>
      <c r="K415" s="6" t="s">
        <v>37</v>
      </c>
      <c r="L415" s="6" t="s">
        <v>75</v>
      </c>
      <c r="M415" s="12">
        <v>243</v>
      </c>
      <c r="N415" s="2">
        <v>126.35</v>
      </c>
      <c r="O415" s="4">
        <v>0.16789999999999999</v>
      </c>
      <c r="P415" s="2">
        <v>30703.05</v>
      </c>
      <c r="Q415" s="2">
        <v>2431.1</v>
      </c>
      <c r="R415" s="2">
        <v>12988.5</v>
      </c>
      <c r="S415" s="2">
        <v>1402.8</v>
      </c>
      <c r="T415" s="2">
        <v>25548.007905000002</v>
      </c>
      <c r="U415" s="2">
        <v>8725.6079050000026</v>
      </c>
      <c r="V415" s="5">
        <v>0.34153770178270193</v>
      </c>
    </row>
    <row r="416" spans="1:22" x14ac:dyDescent="0.3">
      <c r="A416">
        <f t="shared" si="6"/>
        <v>415</v>
      </c>
      <c r="B416" t="s">
        <v>500</v>
      </c>
      <c r="C416" s="1">
        <v>45932</v>
      </c>
      <c r="D416" t="s">
        <v>20</v>
      </c>
      <c r="E416" s="6" t="s">
        <v>662</v>
      </c>
      <c r="F416" s="6" t="s">
        <v>42</v>
      </c>
      <c r="G416" s="6" t="s">
        <v>69</v>
      </c>
      <c r="H416" t="s">
        <v>27</v>
      </c>
      <c r="I416" s="6" t="s">
        <v>16</v>
      </c>
      <c r="J416" s="6" t="s">
        <v>32</v>
      </c>
      <c r="K416" s="6" t="s">
        <v>48</v>
      </c>
      <c r="L416" s="6" t="s">
        <v>54</v>
      </c>
      <c r="M416" s="12">
        <v>102</v>
      </c>
      <c r="N416" s="2">
        <v>80.150000000000006</v>
      </c>
      <c r="O416" s="4">
        <v>7.4099999999999999E-2</v>
      </c>
      <c r="P416" s="2">
        <v>8175.3</v>
      </c>
      <c r="Q416" s="2">
        <v>949.9</v>
      </c>
      <c r="R416" s="2">
        <v>5615.05</v>
      </c>
      <c r="S416" s="2">
        <v>599.20000000000005</v>
      </c>
      <c r="T416" s="2">
        <v>7569.5102699999998</v>
      </c>
      <c r="U416" s="2">
        <v>405.36026999999979</v>
      </c>
      <c r="V416" s="5">
        <v>5.3551716761195411E-2</v>
      </c>
    </row>
    <row r="417" spans="1:22" x14ac:dyDescent="0.3">
      <c r="A417">
        <f t="shared" si="6"/>
        <v>416</v>
      </c>
      <c r="B417" t="s">
        <v>501</v>
      </c>
      <c r="C417" s="1">
        <v>45664</v>
      </c>
      <c r="D417" t="s">
        <v>44</v>
      </c>
      <c r="E417" s="6" t="s">
        <v>663</v>
      </c>
      <c r="F417" s="6" t="s">
        <v>21</v>
      </c>
      <c r="G417" s="6" t="s">
        <v>22</v>
      </c>
      <c r="H417" t="s">
        <v>15</v>
      </c>
      <c r="I417" s="6" t="s">
        <v>23</v>
      </c>
      <c r="J417" s="6" t="s">
        <v>36</v>
      </c>
      <c r="K417" s="6" t="s">
        <v>46</v>
      </c>
      <c r="L417" s="6" t="s">
        <v>83</v>
      </c>
      <c r="M417" s="12">
        <v>39</v>
      </c>
      <c r="N417" s="2">
        <v>138.95000000000002</v>
      </c>
      <c r="O417" s="4">
        <v>0.10619999999999999</v>
      </c>
      <c r="P417" s="2">
        <v>5419.0500000000011</v>
      </c>
      <c r="Q417" s="2">
        <v>738.15</v>
      </c>
      <c r="R417" s="2">
        <v>2744.35</v>
      </c>
      <c r="S417" s="2">
        <v>577.5</v>
      </c>
      <c r="T417" s="2">
        <v>4843.5468900000014</v>
      </c>
      <c r="U417" s="2">
        <v>783.54689000000155</v>
      </c>
      <c r="V417" s="5">
        <v>0.16177130268269196</v>
      </c>
    </row>
    <row r="418" spans="1:22" x14ac:dyDescent="0.3">
      <c r="A418">
        <f t="shared" si="6"/>
        <v>417</v>
      </c>
      <c r="B418" t="s">
        <v>502</v>
      </c>
      <c r="C418" s="1">
        <v>45830</v>
      </c>
      <c r="D418" t="s">
        <v>58</v>
      </c>
      <c r="E418" s="6" t="s">
        <v>662</v>
      </c>
      <c r="F418" s="6" t="s">
        <v>66</v>
      </c>
      <c r="G418" s="6" t="s">
        <v>68</v>
      </c>
      <c r="H418" t="s">
        <v>15</v>
      </c>
      <c r="I418" s="6" t="s">
        <v>16</v>
      </c>
      <c r="J418" s="6" t="s">
        <v>32</v>
      </c>
      <c r="K418" s="6" t="s">
        <v>33</v>
      </c>
      <c r="L418" s="6" t="s">
        <v>78</v>
      </c>
      <c r="M418" s="12">
        <v>198</v>
      </c>
      <c r="N418" s="2">
        <v>88.55</v>
      </c>
      <c r="O418" s="4">
        <v>3.4200000000000001E-2</v>
      </c>
      <c r="P418" s="2">
        <v>17532.899999999998</v>
      </c>
      <c r="Q418" s="2">
        <v>1755.95</v>
      </c>
      <c r="R418" s="2">
        <v>10043.599999999999</v>
      </c>
      <c r="S418" s="2">
        <v>1179.5</v>
      </c>
      <c r="T418" s="2">
        <v>16933.274819999999</v>
      </c>
      <c r="U418" s="2">
        <v>3954.2248200000004</v>
      </c>
      <c r="V418" s="5">
        <v>0.23351802070380623</v>
      </c>
    </row>
    <row r="419" spans="1:22" x14ac:dyDescent="0.3">
      <c r="A419">
        <f t="shared" si="6"/>
        <v>418</v>
      </c>
      <c r="B419" t="s">
        <v>503</v>
      </c>
      <c r="C419" s="1">
        <v>45773</v>
      </c>
      <c r="D419" t="s">
        <v>61</v>
      </c>
      <c r="E419" s="6" t="s">
        <v>664</v>
      </c>
      <c r="F419" s="6" t="s">
        <v>63</v>
      </c>
      <c r="G419" s="6" t="s">
        <v>22</v>
      </c>
      <c r="H419" t="s">
        <v>27</v>
      </c>
      <c r="I419" s="6" t="s">
        <v>31</v>
      </c>
      <c r="J419" s="6" t="s">
        <v>32</v>
      </c>
      <c r="K419" s="6" t="s">
        <v>46</v>
      </c>
      <c r="L419" s="6" t="s">
        <v>81</v>
      </c>
      <c r="M419" s="12">
        <v>530</v>
      </c>
      <c r="N419" s="2">
        <v>157.5</v>
      </c>
      <c r="O419" s="4">
        <v>0.13400000000000001</v>
      </c>
      <c r="P419" s="2">
        <v>83475</v>
      </c>
      <c r="Q419" s="2">
        <v>2429.35</v>
      </c>
      <c r="R419" s="2">
        <v>39574.85</v>
      </c>
      <c r="S419" s="2">
        <v>4212.6000000000004</v>
      </c>
      <c r="T419" s="2">
        <v>72289.350000000006</v>
      </c>
      <c r="U419" s="2">
        <v>26072.550000000003</v>
      </c>
      <c r="V419" s="5">
        <v>0.3606693102095952</v>
      </c>
    </row>
    <row r="420" spans="1:22" x14ac:dyDescent="0.3">
      <c r="A420">
        <f t="shared" si="6"/>
        <v>419</v>
      </c>
      <c r="B420" t="s">
        <v>504</v>
      </c>
      <c r="C420" s="1">
        <v>45668</v>
      </c>
      <c r="D420" t="s">
        <v>44</v>
      </c>
      <c r="E420" s="6" t="s">
        <v>663</v>
      </c>
      <c r="F420" s="6" t="s">
        <v>21</v>
      </c>
      <c r="G420" s="6" t="s">
        <v>69</v>
      </c>
      <c r="H420" t="s">
        <v>27</v>
      </c>
      <c r="I420" s="6" t="s">
        <v>16</v>
      </c>
      <c r="J420" s="6" t="s">
        <v>32</v>
      </c>
      <c r="K420" s="6" t="s">
        <v>48</v>
      </c>
      <c r="L420" s="6" t="s">
        <v>49</v>
      </c>
      <c r="M420" s="12">
        <v>309</v>
      </c>
      <c r="N420" s="2">
        <v>115.15</v>
      </c>
      <c r="O420" s="4">
        <v>6.9800000000000001E-2</v>
      </c>
      <c r="P420" s="2">
        <v>35581.35</v>
      </c>
      <c r="Q420" s="2">
        <v>3140.55</v>
      </c>
      <c r="R420" s="2">
        <v>21047.600000000002</v>
      </c>
      <c r="S420" s="2">
        <v>2855.2999999999997</v>
      </c>
      <c r="T420" s="2">
        <v>33097.771769999999</v>
      </c>
      <c r="U420" s="2">
        <v>6054.3217699999977</v>
      </c>
      <c r="V420" s="5">
        <v>0.18292233725194962</v>
      </c>
    </row>
    <row r="421" spans="1:22" x14ac:dyDescent="0.3">
      <c r="A421">
        <f t="shared" si="6"/>
        <v>420</v>
      </c>
      <c r="B421" t="s">
        <v>505</v>
      </c>
      <c r="C421" s="1">
        <v>45865</v>
      </c>
      <c r="D421" t="s">
        <v>26</v>
      </c>
      <c r="E421" s="6" t="s">
        <v>664</v>
      </c>
      <c r="F421" s="6" t="s">
        <v>63</v>
      </c>
      <c r="G421" s="6" t="s">
        <v>64</v>
      </c>
      <c r="H421" t="s">
        <v>15</v>
      </c>
      <c r="I421" s="6" t="s">
        <v>16</v>
      </c>
      <c r="J421" s="6" t="s">
        <v>52</v>
      </c>
      <c r="K421" s="6" t="s">
        <v>33</v>
      </c>
      <c r="L421" s="6" t="s">
        <v>79</v>
      </c>
      <c r="M421" s="12">
        <v>29</v>
      </c>
      <c r="N421" s="2">
        <v>72.449999999999989</v>
      </c>
      <c r="O421" s="4">
        <v>0.1593</v>
      </c>
      <c r="P421" s="2">
        <v>2101.0499999999997</v>
      </c>
      <c r="Q421" s="2">
        <v>284.90000000000003</v>
      </c>
      <c r="R421" s="2">
        <v>1005.9</v>
      </c>
      <c r="S421" s="2">
        <v>139.30000000000001</v>
      </c>
      <c r="T421" s="2">
        <v>1766.3527349999997</v>
      </c>
      <c r="U421" s="2">
        <v>336.25273499999975</v>
      </c>
      <c r="V421" s="5">
        <v>0.19036556421444317</v>
      </c>
    </row>
    <row r="422" spans="1:22" x14ac:dyDescent="0.3">
      <c r="A422">
        <f t="shared" si="6"/>
        <v>421</v>
      </c>
      <c r="B422" t="s">
        <v>506</v>
      </c>
      <c r="C422" s="1">
        <v>45778</v>
      </c>
      <c r="D422" t="s">
        <v>30</v>
      </c>
      <c r="E422" s="6" t="s">
        <v>662</v>
      </c>
      <c r="F422" s="6" t="s">
        <v>66</v>
      </c>
      <c r="G422" s="6" t="s">
        <v>64</v>
      </c>
      <c r="H422" t="s">
        <v>15</v>
      </c>
      <c r="I422" s="6" t="s">
        <v>23</v>
      </c>
      <c r="J422" s="6" t="s">
        <v>32</v>
      </c>
      <c r="K422" s="6" t="s">
        <v>48</v>
      </c>
      <c r="L422" s="6" t="s">
        <v>74</v>
      </c>
      <c r="M422" s="12">
        <v>85</v>
      </c>
      <c r="N422" s="2">
        <v>146.65</v>
      </c>
      <c r="O422" s="4">
        <v>4.4299999999999999E-2</v>
      </c>
      <c r="P422" s="2">
        <v>12465.25</v>
      </c>
      <c r="Q422" s="2">
        <v>1673</v>
      </c>
      <c r="R422" s="2">
        <v>8360.7999999999993</v>
      </c>
      <c r="S422" s="2">
        <v>1223.6000000000001</v>
      </c>
      <c r="T422" s="2">
        <v>11913.039424999999</v>
      </c>
      <c r="U422" s="2">
        <v>655.63942499999939</v>
      </c>
      <c r="V422" s="5">
        <v>5.5035444911238462E-2</v>
      </c>
    </row>
    <row r="423" spans="1:22" x14ac:dyDescent="0.3">
      <c r="A423">
        <f t="shared" si="6"/>
        <v>422</v>
      </c>
      <c r="B423" t="s">
        <v>507</v>
      </c>
      <c r="C423" s="1">
        <v>45660</v>
      </c>
      <c r="D423" t="s">
        <v>44</v>
      </c>
      <c r="E423" s="6" t="s">
        <v>662</v>
      </c>
      <c r="F423" s="6" t="s">
        <v>66</v>
      </c>
      <c r="G423" s="6" t="s">
        <v>39</v>
      </c>
      <c r="H423" t="s">
        <v>27</v>
      </c>
      <c r="I423" s="6" t="s">
        <v>28</v>
      </c>
      <c r="J423" s="6" t="s">
        <v>36</v>
      </c>
      <c r="K423" s="6" t="s">
        <v>46</v>
      </c>
      <c r="L423" s="6" t="s">
        <v>81</v>
      </c>
      <c r="M423" s="12">
        <v>96</v>
      </c>
      <c r="N423" s="2">
        <v>151.20000000000002</v>
      </c>
      <c r="O423" s="4">
        <v>0.15869999999999998</v>
      </c>
      <c r="P423" s="2">
        <v>14515.2</v>
      </c>
      <c r="Q423" s="2">
        <v>778.4</v>
      </c>
      <c r="R423" s="2">
        <v>6279.3499999999995</v>
      </c>
      <c r="S423" s="2">
        <v>829.5</v>
      </c>
      <c r="T423" s="2">
        <v>12211.637760000001</v>
      </c>
      <c r="U423" s="2">
        <v>4324.3877600000023</v>
      </c>
      <c r="V423" s="5">
        <v>0.35412021261921234</v>
      </c>
    </row>
    <row r="424" spans="1:22" x14ac:dyDescent="0.3">
      <c r="A424">
        <f t="shared" si="6"/>
        <v>423</v>
      </c>
      <c r="B424" t="s">
        <v>508</v>
      </c>
      <c r="C424" s="1">
        <v>45881</v>
      </c>
      <c r="D424" t="s">
        <v>35</v>
      </c>
      <c r="E424" s="6" t="s">
        <v>662</v>
      </c>
      <c r="F424" s="6" t="s">
        <v>66</v>
      </c>
      <c r="G424" s="6" t="s">
        <v>22</v>
      </c>
      <c r="H424" t="s">
        <v>27</v>
      </c>
      <c r="I424" s="6" t="s">
        <v>31</v>
      </c>
      <c r="J424" s="6" t="s">
        <v>32</v>
      </c>
      <c r="K424" s="6" t="s">
        <v>48</v>
      </c>
      <c r="L424" s="6" t="s">
        <v>54</v>
      </c>
      <c r="M424" s="12">
        <v>873</v>
      </c>
      <c r="N424" s="2">
        <v>81.899999999999991</v>
      </c>
      <c r="O424" s="4">
        <v>0.1714</v>
      </c>
      <c r="P424" s="2">
        <v>71498.7</v>
      </c>
      <c r="Q424" s="2">
        <v>3801.35</v>
      </c>
      <c r="R424" s="2">
        <v>42449.75</v>
      </c>
      <c r="S424" s="2">
        <v>3242.4</v>
      </c>
      <c r="T424" s="2">
        <v>59243.822820000001</v>
      </c>
      <c r="U424" s="2">
        <v>9750.3228199999994</v>
      </c>
      <c r="V424" s="5">
        <v>0.16457956890500333</v>
      </c>
    </row>
    <row r="425" spans="1:22" x14ac:dyDescent="0.3">
      <c r="A425">
        <f t="shared" si="6"/>
        <v>424</v>
      </c>
      <c r="B425" t="s">
        <v>509</v>
      </c>
      <c r="C425" s="1">
        <v>45802</v>
      </c>
      <c r="D425" t="s">
        <v>30</v>
      </c>
      <c r="E425" s="6" t="s">
        <v>664</v>
      </c>
      <c r="F425" s="6" t="s">
        <v>63</v>
      </c>
      <c r="G425" s="6" t="s">
        <v>65</v>
      </c>
      <c r="H425" t="s">
        <v>15</v>
      </c>
      <c r="I425" s="6" t="s">
        <v>16</v>
      </c>
      <c r="J425" s="6" t="s">
        <v>36</v>
      </c>
      <c r="K425" s="6" t="s">
        <v>37</v>
      </c>
      <c r="L425" s="6" t="s">
        <v>75</v>
      </c>
      <c r="M425" s="12">
        <v>60</v>
      </c>
      <c r="N425" s="2">
        <v>141.75</v>
      </c>
      <c r="O425" s="4">
        <v>0.1381</v>
      </c>
      <c r="P425" s="2">
        <v>8505</v>
      </c>
      <c r="Q425" s="2">
        <v>750.05</v>
      </c>
      <c r="R425" s="2">
        <v>4160.8</v>
      </c>
      <c r="S425" s="2">
        <v>565.6</v>
      </c>
      <c r="T425" s="2">
        <v>7330.4594999999999</v>
      </c>
      <c r="U425" s="2">
        <v>1854.0094999999994</v>
      </c>
      <c r="V425" s="5">
        <v>0.25291859262028521</v>
      </c>
    </row>
    <row r="426" spans="1:22" x14ac:dyDescent="0.3">
      <c r="A426">
        <f t="shared" si="6"/>
        <v>425</v>
      </c>
      <c r="B426" t="s">
        <v>510</v>
      </c>
      <c r="C426" s="1">
        <v>45784</v>
      </c>
      <c r="D426" t="s">
        <v>30</v>
      </c>
      <c r="E426" s="6" t="s">
        <v>664</v>
      </c>
      <c r="F426" s="6" t="s">
        <v>63</v>
      </c>
      <c r="G426" s="6" t="s">
        <v>43</v>
      </c>
      <c r="H426" t="s">
        <v>15</v>
      </c>
      <c r="I426" s="6" t="s">
        <v>23</v>
      </c>
      <c r="J426" s="6" t="s">
        <v>84</v>
      </c>
      <c r="K426" s="6" t="s">
        <v>48</v>
      </c>
      <c r="L426" s="6" t="s">
        <v>49</v>
      </c>
      <c r="M426" s="12">
        <v>56</v>
      </c>
      <c r="N426" s="2">
        <v>112.7</v>
      </c>
      <c r="O426" s="4">
        <v>0.1114</v>
      </c>
      <c r="P426" s="2">
        <v>6311.2</v>
      </c>
      <c r="Q426" s="2">
        <v>1050.3500000000001</v>
      </c>
      <c r="R426" s="2">
        <v>3570.7</v>
      </c>
      <c r="S426" s="2">
        <v>669.9</v>
      </c>
      <c r="T426" s="2">
        <v>5608.1323200000006</v>
      </c>
      <c r="U426" s="2">
        <v>317.18232000000103</v>
      </c>
      <c r="V426" s="5">
        <v>5.6557567101056021E-2</v>
      </c>
    </row>
    <row r="427" spans="1:22" x14ac:dyDescent="0.3">
      <c r="A427">
        <f t="shared" si="6"/>
        <v>426</v>
      </c>
      <c r="B427" t="s">
        <v>511</v>
      </c>
      <c r="C427" s="1">
        <v>46006</v>
      </c>
      <c r="D427" t="s">
        <v>50</v>
      </c>
      <c r="E427" s="6" t="s">
        <v>664</v>
      </c>
      <c r="F427" s="6" t="s">
        <v>63</v>
      </c>
      <c r="G427" s="6" t="s">
        <v>39</v>
      </c>
      <c r="H427" t="s">
        <v>15</v>
      </c>
      <c r="I427" s="6" t="s">
        <v>16</v>
      </c>
      <c r="J427" s="6" t="s">
        <v>32</v>
      </c>
      <c r="K427" s="6" t="s">
        <v>46</v>
      </c>
      <c r="L427" s="6" t="s">
        <v>83</v>
      </c>
      <c r="M427" s="12">
        <v>84</v>
      </c>
      <c r="N427" s="2">
        <v>139.30000000000001</v>
      </c>
      <c r="O427" s="4">
        <v>6.7099999999999993E-2</v>
      </c>
      <c r="P427" s="2">
        <v>11701.2</v>
      </c>
      <c r="Q427" s="2">
        <v>999.59999999999991</v>
      </c>
      <c r="R427" s="2">
        <v>5871.9500000000007</v>
      </c>
      <c r="S427" s="2">
        <v>795.55000000000007</v>
      </c>
      <c r="T427" s="2">
        <v>10916.049480000001</v>
      </c>
      <c r="U427" s="2">
        <v>3248.9494800000016</v>
      </c>
      <c r="V427" s="5">
        <v>0.29763051971801807</v>
      </c>
    </row>
    <row r="428" spans="1:22" x14ac:dyDescent="0.3">
      <c r="A428">
        <f t="shared" si="6"/>
        <v>427</v>
      </c>
      <c r="B428" t="s">
        <v>512</v>
      </c>
      <c r="C428" s="1">
        <v>45792</v>
      </c>
      <c r="D428" t="s">
        <v>30</v>
      </c>
      <c r="E428" s="6" t="s">
        <v>664</v>
      </c>
      <c r="F428" s="6" t="s">
        <v>63</v>
      </c>
      <c r="G428" s="6" t="s">
        <v>39</v>
      </c>
      <c r="H428" t="s">
        <v>15</v>
      </c>
      <c r="I428" s="6" t="s">
        <v>23</v>
      </c>
      <c r="J428" s="6" t="s">
        <v>24</v>
      </c>
      <c r="K428" s="6" t="s">
        <v>33</v>
      </c>
      <c r="L428" s="6" t="s">
        <v>34</v>
      </c>
      <c r="M428" s="12">
        <v>29</v>
      </c>
      <c r="N428" s="2">
        <v>112.7</v>
      </c>
      <c r="O428" s="4">
        <v>8.5099999999999995E-2</v>
      </c>
      <c r="P428" s="2">
        <v>3268.3</v>
      </c>
      <c r="Q428" s="2">
        <v>451.5</v>
      </c>
      <c r="R428" s="2">
        <v>1839.25</v>
      </c>
      <c r="S428" s="2">
        <v>312.55</v>
      </c>
      <c r="T428" s="2">
        <v>2990.1676700000003</v>
      </c>
      <c r="U428" s="2">
        <v>386.86767000000009</v>
      </c>
      <c r="V428" s="5">
        <v>0.12937992537388382</v>
      </c>
    </row>
    <row r="429" spans="1:22" x14ac:dyDescent="0.3">
      <c r="A429">
        <f t="shared" si="6"/>
        <v>428</v>
      </c>
      <c r="B429" t="s">
        <v>513</v>
      </c>
      <c r="C429" s="1">
        <v>45921</v>
      </c>
      <c r="D429" t="s">
        <v>14</v>
      </c>
      <c r="E429" s="6" t="s">
        <v>664</v>
      </c>
      <c r="F429" s="6" t="s">
        <v>63</v>
      </c>
      <c r="G429" s="6" t="s">
        <v>65</v>
      </c>
      <c r="H429" t="s">
        <v>27</v>
      </c>
      <c r="I429" s="6" t="s">
        <v>28</v>
      </c>
      <c r="J429" s="6" t="s">
        <v>36</v>
      </c>
      <c r="K429" s="6" t="s">
        <v>46</v>
      </c>
      <c r="L429" s="6" t="s">
        <v>89</v>
      </c>
      <c r="M429" s="12">
        <v>304</v>
      </c>
      <c r="N429" s="2">
        <v>94.149999999999991</v>
      </c>
      <c r="O429" s="4">
        <v>0.20670000000000002</v>
      </c>
      <c r="P429" s="2">
        <v>28621.599999999999</v>
      </c>
      <c r="Q429" s="2">
        <v>1242.5</v>
      </c>
      <c r="R429" s="2">
        <v>13775.3</v>
      </c>
      <c r="S429" s="2">
        <v>1671.25</v>
      </c>
      <c r="T429" s="2">
        <v>22705.51528</v>
      </c>
      <c r="U429" s="2">
        <v>6016.4652800000003</v>
      </c>
      <c r="V429" s="5">
        <v>0.26497814323111019</v>
      </c>
    </row>
    <row r="430" spans="1:22" x14ac:dyDescent="0.3">
      <c r="A430">
        <f t="shared" si="6"/>
        <v>429</v>
      </c>
      <c r="B430" t="s">
        <v>514</v>
      </c>
      <c r="C430" s="1">
        <v>45785</v>
      </c>
      <c r="D430" t="s">
        <v>30</v>
      </c>
      <c r="E430" s="6" t="s">
        <v>662</v>
      </c>
      <c r="F430" s="6" t="s">
        <v>66</v>
      </c>
      <c r="G430" s="6" t="s">
        <v>39</v>
      </c>
      <c r="H430" t="s">
        <v>27</v>
      </c>
      <c r="I430" s="6" t="s">
        <v>28</v>
      </c>
      <c r="J430" s="6" t="s">
        <v>36</v>
      </c>
      <c r="K430" s="6" t="s">
        <v>46</v>
      </c>
      <c r="L430" s="6" t="s">
        <v>76</v>
      </c>
      <c r="M430" s="12">
        <v>463</v>
      </c>
      <c r="N430" s="2">
        <v>261.10000000000002</v>
      </c>
      <c r="O430" s="4">
        <v>0.12210000000000001</v>
      </c>
      <c r="P430" s="2">
        <v>120889.30000000002</v>
      </c>
      <c r="Q430" s="2">
        <v>6479.2</v>
      </c>
      <c r="R430" s="2">
        <v>55314.350000000006</v>
      </c>
      <c r="S430" s="2">
        <v>6828.5</v>
      </c>
      <c r="T430" s="2">
        <v>106128.71647000001</v>
      </c>
      <c r="U430" s="2">
        <v>37506.666470000011</v>
      </c>
      <c r="V430" s="5">
        <v>0.35340733137578484</v>
      </c>
    </row>
    <row r="431" spans="1:22" x14ac:dyDescent="0.3">
      <c r="A431">
        <f t="shared" si="6"/>
        <v>430</v>
      </c>
      <c r="B431" t="s">
        <v>515</v>
      </c>
      <c r="C431" s="1">
        <v>45814</v>
      </c>
      <c r="D431" t="s">
        <v>58</v>
      </c>
      <c r="E431" s="6" t="s">
        <v>663</v>
      </c>
      <c r="F431" s="6" t="s">
        <v>21</v>
      </c>
      <c r="G431" s="6" t="s">
        <v>65</v>
      </c>
      <c r="H431" t="s">
        <v>15</v>
      </c>
      <c r="I431" s="6" t="s">
        <v>23</v>
      </c>
      <c r="J431" s="6" t="s">
        <v>36</v>
      </c>
      <c r="K431" s="6" t="s">
        <v>18</v>
      </c>
      <c r="L431" s="6" t="s">
        <v>71</v>
      </c>
      <c r="M431" s="12">
        <v>42</v>
      </c>
      <c r="N431" s="2">
        <v>93.800000000000011</v>
      </c>
      <c r="O431" s="4">
        <v>7.3399999999999993E-2</v>
      </c>
      <c r="P431" s="2">
        <v>3939.6000000000004</v>
      </c>
      <c r="Q431" s="2">
        <v>577.15</v>
      </c>
      <c r="R431" s="2">
        <v>1951.6</v>
      </c>
      <c r="S431" s="2">
        <v>330.75</v>
      </c>
      <c r="T431" s="2">
        <v>3650.4333600000004</v>
      </c>
      <c r="U431" s="2">
        <v>790.93336000000056</v>
      </c>
      <c r="V431" s="5">
        <v>0.21666834646722616</v>
      </c>
    </row>
    <row r="432" spans="1:22" x14ac:dyDescent="0.3">
      <c r="A432">
        <f t="shared" si="6"/>
        <v>431</v>
      </c>
      <c r="B432" t="s">
        <v>516</v>
      </c>
      <c r="C432" s="1">
        <v>46020</v>
      </c>
      <c r="D432" t="s">
        <v>50</v>
      </c>
      <c r="E432" s="6" t="s">
        <v>662</v>
      </c>
      <c r="F432" s="6" t="s">
        <v>42</v>
      </c>
      <c r="G432" s="6" t="s">
        <v>68</v>
      </c>
      <c r="H432" t="s">
        <v>15</v>
      </c>
      <c r="I432" s="6" t="s">
        <v>16</v>
      </c>
      <c r="J432" s="6" t="s">
        <v>32</v>
      </c>
      <c r="K432" s="6" t="s">
        <v>18</v>
      </c>
      <c r="L432" s="6" t="s">
        <v>19</v>
      </c>
      <c r="M432" s="12">
        <v>47</v>
      </c>
      <c r="N432" s="2">
        <v>188.64999999999998</v>
      </c>
      <c r="O432" s="4">
        <v>5.5300000000000002E-2</v>
      </c>
      <c r="P432" s="2">
        <v>8866.5499999999993</v>
      </c>
      <c r="Q432" s="2">
        <v>780.84999999999991</v>
      </c>
      <c r="R432" s="2">
        <v>4625.25</v>
      </c>
      <c r="S432" s="2">
        <v>568.75</v>
      </c>
      <c r="T432" s="2">
        <v>8376.2297849999995</v>
      </c>
      <c r="U432" s="2">
        <v>2401.3797849999996</v>
      </c>
      <c r="V432" s="5">
        <v>0.28668981709412356</v>
      </c>
    </row>
    <row r="433" spans="1:22" x14ac:dyDescent="0.3">
      <c r="A433">
        <f t="shared" si="6"/>
        <v>432</v>
      </c>
      <c r="B433" t="s">
        <v>517</v>
      </c>
      <c r="C433" s="1">
        <v>45720</v>
      </c>
      <c r="D433" t="s">
        <v>41</v>
      </c>
      <c r="E433" s="6" t="s">
        <v>662</v>
      </c>
      <c r="F433" s="6" t="s">
        <v>42</v>
      </c>
      <c r="G433" s="6" t="s">
        <v>39</v>
      </c>
      <c r="H433" t="s">
        <v>15</v>
      </c>
      <c r="I433" s="6" t="s">
        <v>23</v>
      </c>
      <c r="J433" s="6" t="s">
        <v>24</v>
      </c>
      <c r="K433" s="6" t="s">
        <v>18</v>
      </c>
      <c r="L433" s="6" t="s">
        <v>19</v>
      </c>
      <c r="M433" s="12">
        <v>43</v>
      </c>
      <c r="N433" s="2">
        <v>200.9</v>
      </c>
      <c r="O433" s="4">
        <v>0.13070000000000001</v>
      </c>
      <c r="P433" s="2">
        <v>8638.7000000000007</v>
      </c>
      <c r="Q433" s="2">
        <v>1059.45</v>
      </c>
      <c r="R433" s="2">
        <v>4422.6000000000004</v>
      </c>
      <c r="S433" s="2">
        <v>672</v>
      </c>
      <c r="T433" s="2">
        <v>7509.6219100000008</v>
      </c>
      <c r="U433" s="2">
        <v>1355.5719100000003</v>
      </c>
      <c r="V433" s="5">
        <v>0.18051133948499948</v>
      </c>
    </row>
    <row r="434" spans="1:22" x14ac:dyDescent="0.3">
      <c r="A434">
        <f t="shared" si="6"/>
        <v>433</v>
      </c>
      <c r="B434" t="s">
        <v>518</v>
      </c>
      <c r="C434" s="1">
        <v>45903</v>
      </c>
      <c r="D434" t="s">
        <v>14</v>
      </c>
      <c r="E434" s="6" t="s">
        <v>662</v>
      </c>
      <c r="F434" s="6" t="s">
        <v>42</v>
      </c>
      <c r="G434" s="6" t="s">
        <v>22</v>
      </c>
      <c r="H434" t="s">
        <v>15</v>
      </c>
      <c r="I434" s="6" t="s">
        <v>16</v>
      </c>
      <c r="J434" s="6" t="s">
        <v>84</v>
      </c>
      <c r="K434" s="6" t="s">
        <v>46</v>
      </c>
      <c r="L434" s="6" t="s">
        <v>83</v>
      </c>
      <c r="M434" s="12">
        <v>29</v>
      </c>
      <c r="N434" s="2">
        <v>143.15</v>
      </c>
      <c r="O434" s="4">
        <v>0.15789999999999998</v>
      </c>
      <c r="P434" s="2">
        <v>4151.3500000000004</v>
      </c>
      <c r="Q434" s="2">
        <v>493.5</v>
      </c>
      <c r="R434" s="2">
        <v>1926.05</v>
      </c>
      <c r="S434" s="2">
        <v>252.35</v>
      </c>
      <c r="T434" s="2">
        <v>3495.8518350000004</v>
      </c>
      <c r="U434" s="2">
        <v>823.95183500000053</v>
      </c>
      <c r="V434" s="5">
        <v>0.23569415235242669</v>
      </c>
    </row>
    <row r="435" spans="1:22" x14ac:dyDescent="0.3">
      <c r="A435">
        <f t="shared" si="6"/>
        <v>434</v>
      </c>
      <c r="B435" t="s">
        <v>519</v>
      </c>
      <c r="C435" s="1">
        <v>45965</v>
      </c>
      <c r="D435" t="s">
        <v>67</v>
      </c>
      <c r="E435" s="6" t="s">
        <v>662</v>
      </c>
      <c r="F435" s="6" t="s">
        <v>66</v>
      </c>
      <c r="G435" s="6" t="s">
        <v>64</v>
      </c>
      <c r="H435" t="s">
        <v>15</v>
      </c>
      <c r="I435" s="6" t="s">
        <v>23</v>
      </c>
      <c r="J435" s="6" t="s">
        <v>36</v>
      </c>
      <c r="K435" s="6" t="s">
        <v>48</v>
      </c>
      <c r="L435" s="6" t="s">
        <v>57</v>
      </c>
      <c r="M435" s="12">
        <v>109</v>
      </c>
      <c r="N435" s="2">
        <v>83.3</v>
      </c>
      <c r="O435" s="4">
        <v>7.9500000000000001E-2</v>
      </c>
      <c r="P435" s="2">
        <v>9079.6999999999989</v>
      </c>
      <c r="Q435" s="2">
        <v>1036.3499999999999</v>
      </c>
      <c r="R435" s="2">
        <v>6185.9000000000005</v>
      </c>
      <c r="S435" s="2">
        <v>973</v>
      </c>
      <c r="T435" s="2">
        <v>8357.8638499999997</v>
      </c>
      <c r="U435" s="2">
        <v>162.61384999999927</v>
      </c>
      <c r="V435" s="5">
        <v>1.9456388967140123E-2</v>
      </c>
    </row>
    <row r="436" spans="1:22" x14ac:dyDescent="0.3">
      <c r="A436">
        <f t="shared" si="6"/>
        <v>435</v>
      </c>
      <c r="B436" t="s">
        <v>520</v>
      </c>
      <c r="C436" s="1">
        <v>45702</v>
      </c>
      <c r="D436" t="s">
        <v>55</v>
      </c>
      <c r="E436" s="6" t="s">
        <v>663</v>
      </c>
      <c r="F436" s="6" t="s">
        <v>21</v>
      </c>
      <c r="G436" s="6" t="s">
        <v>43</v>
      </c>
      <c r="H436" t="s">
        <v>27</v>
      </c>
      <c r="I436" s="6" t="s">
        <v>28</v>
      </c>
      <c r="J436" s="6" t="s">
        <v>17</v>
      </c>
      <c r="K436" s="6" t="s">
        <v>46</v>
      </c>
      <c r="L436" s="6" t="s">
        <v>76</v>
      </c>
      <c r="M436" s="12">
        <v>326</v>
      </c>
      <c r="N436" s="2">
        <v>279.3</v>
      </c>
      <c r="O436" s="4">
        <v>0.1726</v>
      </c>
      <c r="P436" s="2">
        <v>91051.8</v>
      </c>
      <c r="Q436" s="2">
        <v>6174</v>
      </c>
      <c r="R436" s="2">
        <v>39926.949999999997</v>
      </c>
      <c r="S436" s="2">
        <v>4763.8500000000004</v>
      </c>
      <c r="T436" s="2">
        <v>75336.259319999997</v>
      </c>
      <c r="U436" s="2">
        <v>24471.459319999994</v>
      </c>
      <c r="V436" s="5">
        <v>0.3248297637934805</v>
      </c>
    </row>
    <row r="437" spans="1:22" x14ac:dyDescent="0.3">
      <c r="A437">
        <f t="shared" si="6"/>
        <v>436</v>
      </c>
      <c r="B437" t="s">
        <v>521</v>
      </c>
      <c r="C437" s="1">
        <v>45960</v>
      </c>
      <c r="D437" t="s">
        <v>20</v>
      </c>
      <c r="E437" s="6" t="s">
        <v>664</v>
      </c>
      <c r="F437" s="6" t="s">
        <v>63</v>
      </c>
      <c r="G437" s="6" t="s">
        <v>43</v>
      </c>
      <c r="H437" t="s">
        <v>15</v>
      </c>
      <c r="I437" s="6" t="s">
        <v>23</v>
      </c>
      <c r="J437" s="6" t="s">
        <v>52</v>
      </c>
      <c r="K437" s="6" t="s">
        <v>37</v>
      </c>
      <c r="L437" s="6" t="s">
        <v>60</v>
      </c>
      <c r="M437" s="12">
        <v>17</v>
      </c>
      <c r="N437" s="2">
        <v>177.8</v>
      </c>
      <c r="O437" s="4">
        <v>0.1244</v>
      </c>
      <c r="P437" s="2">
        <v>3022.6000000000004</v>
      </c>
      <c r="Q437" s="2">
        <v>550.55000000000007</v>
      </c>
      <c r="R437" s="2">
        <v>1562.0500000000002</v>
      </c>
      <c r="S437" s="2">
        <v>236.6</v>
      </c>
      <c r="T437" s="2">
        <v>2646.5885600000006</v>
      </c>
      <c r="U437" s="2">
        <v>297.38856000000044</v>
      </c>
      <c r="V437" s="5">
        <v>0.11236675186112055</v>
      </c>
    </row>
    <row r="438" spans="1:22" x14ac:dyDescent="0.3">
      <c r="A438">
        <f t="shared" si="6"/>
        <v>437</v>
      </c>
      <c r="B438" t="s">
        <v>522</v>
      </c>
      <c r="C438" s="1">
        <v>45909</v>
      </c>
      <c r="D438" t="s">
        <v>14</v>
      </c>
      <c r="E438" s="6" t="s">
        <v>662</v>
      </c>
      <c r="F438" s="6" t="s">
        <v>66</v>
      </c>
      <c r="G438" s="6" t="s">
        <v>65</v>
      </c>
      <c r="H438" t="s">
        <v>27</v>
      </c>
      <c r="I438" s="6" t="s">
        <v>28</v>
      </c>
      <c r="J438" s="6" t="s">
        <v>52</v>
      </c>
      <c r="K438" s="6" t="s">
        <v>18</v>
      </c>
      <c r="L438" s="6" t="s">
        <v>19</v>
      </c>
      <c r="M438" s="12">
        <v>159</v>
      </c>
      <c r="N438" s="2">
        <v>206.85</v>
      </c>
      <c r="O438" s="4">
        <v>0.20250000000000001</v>
      </c>
      <c r="P438" s="2">
        <v>32889.15</v>
      </c>
      <c r="Q438" s="2">
        <v>3383.1</v>
      </c>
      <c r="R438" s="2">
        <v>15463</v>
      </c>
      <c r="S438" s="2">
        <v>1396.15</v>
      </c>
      <c r="T438" s="2">
        <v>26229.097125</v>
      </c>
      <c r="U438" s="2">
        <v>5986.8471249999984</v>
      </c>
      <c r="V438" s="5">
        <v>0.22825212383287471</v>
      </c>
    </row>
    <row r="439" spans="1:22" x14ac:dyDescent="0.3">
      <c r="A439">
        <f t="shared" si="6"/>
        <v>438</v>
      </c>
      <c r="B439" t="s">
        <v>523</v>
      </c>
      <c r="C439" s="1">
        <v>45900</v>
      </c>
      <c r="D439" t="s">
        <v>35</v>
      </c>
      <c r="E439" s="6" t="s">
        <v>663</v>
      </c>
      <c r="F439" s="6" t="s">
        <v>21</v>
      </c>
      <c r="G439" s="6" t="s">
        <v>69</v>
      </c>
      <c r="H439" t="s">
        <v>15</v>
      </c>
      <c r="I439" s="6" t="s">
        <v>23</v>
      </c>
      <c r="J439" s="6" t="s">
        <v>32</v>
      </c>
      <c r="K439" s="6" t="s">
        <v>18</v>
      </c>
      <c r="L439" s="6" t="s">
        <v>25</v>
      </c>
      <c r="M439" s="12">
        <v>52</v>
      </c>
      <c r="N439" s="2">
        <v>107.44999999999999</v>
      </c>
      <c r="O439" s="4">
        <v>7.5700000000000003E-2</v>
      </c>
      <c r="P439" s="2">
        <v>5587.4</v>
      </c>
      <c r="Q439" s="2">
        <v>614.59999999999991</v>
      </c>
      <c r="R439" s="2">
        <v>2479.0499999999997</v>
      </c>
      <c r="S439" s="2">
        <v>473.2</v>
      </c>
      <c r="T439" s="2">
        <v>5164.4338199999993</v>
      </c>
      <c r="U439" s="2">
        <v>1597.5838199999998</v>
      </c>
      <c r="V439" s="5">
        <v>0.30934345867946472</v>
      </c>
    </row>
    <row r="440" spans="1:22" x14ac:dyDescent="0.3">
      <c r="A440">
        <f t="shared" si="6"/>
        <v>439</v>
      </c>
      <c r="B440" t="s">
        <v>524</v>
      </c>
      <c r="C440" s="1">
        <v>45717</v>
      </c>
      <c r="D440" t="s">
        <v>41</v>
      </c>
      <c r="E440" s="6" t="s">
        <v>663</v>
      </c>
      <c r="F440" s="6" t="s">
        <v>21</v>
      </c>
      <c r="G440" s="6" t="s">
        <v>22</v>
      </c>
      <c r="H440" t="s">
        <v>15</v>
      </c>
      <c r="I440" s="6" t="s">
        <v>23</v>
      </c>
      <c r="J440" s="6" t="s">
        <v>84</v>
      </c>
      <c r="K440" s="6" t="s">
        <v>18</v>
      </c>
      <c r="L440" s="6" t="s">
        <v>80</v>
      </c>
      <c r="M440" s="12">
        <v>65</v>
      </c>
      <c r="N440" s="2">
        <v>80.150000000000006</v>
      </c>
      <c r="O440" s="4">
        <v>0.12570000000000001</v>
      </c>
      <c r="P440" s="2">
        <v>5209.75</v>
      </c>
      <c r="Q440" s="2">
        <v>814.1</v>
      </c>
      <c r="R440" s="2">
        <v>2234.0499999999997</v>
      </c>
      <c r="S440" s="2">
        <v>462.35</v>
      </c>
      <c r="T440" s="2">
        <v>4554.8844250000002</v>
      </c>
      <c r="U440" s="2">
        <v>1044.3844250000006</v>
      </c>
      <c r="V440" s="5">
        <v>0.22928889683079073</v>
      </c>
    </row>
    <row r="441" spans="1:22" x14ac:dyDescent="0.3">
      <c r="A441">
        <f t="shared" si="6"/>
        <v>440</v>
      </c>
      <c r="B441" t="s">
        <v>525</v>
      </c>
      <c r="C441" s="1">
        <v>45851</v>
      </c>
      <c r="D441" t="s">
        <v>26</v>
      </c>
      <c r="E441" s="6" t="s">
        <v>664</v>
      </c>
      <c r="F441" s="6" t="s">
        <v>63</v>
      </c>
      <c r="G441" s="6" t="s">
        <v>69</v>
      </c>
      <c r="H441" t="s">
        <v>15</v>
      </c>
      <c r="I441" s="6" t="s">
        <v>31</v>
      </c>
      <c r="J441" s="6" t="s">
        <v>32</v>
      </c>
      <c r="K441" s="6" t="s">
        <v>46</v>
      </c>
      <c r="L441" s="6" t="s">
        <v>81</v>
      </c>
      <c r="M441" s="12">
        <v>264</v>
      </c>
      <c r="N441" s="2">
        <v>141.75</v>
      </c>
      <c r="O441" s="4">
        <v>0.15659999999999999</v>
      </c>
      <c r="P441" s="2">
        <v>37422</v>
      </c>
      <c r="Q441" s="2">
        <v>1437.1000000000001</v>
      </c>
      <c r="R441" s="2">
        <v>16700.95</v>
      </c>
      <c r="S441" s="2">
        <v>1939.7</v>
      </c>
      <c r="T441" s="2">
        <v>31561.714800000002</v>
      </c>
      <c r="U441" s="2">
        <v>11483.9648</v>
      </c>
      <c r="V441" s="5">
        <v>0.36385744161150585</v>
      </c>
    </row>
    <row r="442" spans="1:22" x14ac:dyDescent="0.3">
      <c r="A442">
        <f t="shared" si="6"/>
        <v>441</v>
      </c>
      <c r="B442" t="s">
        <v>526</v>
      </c>
      <c r="C442" s="1">
        <v>45764</v>
      </c>
      <c r="D442" t="s">
        <v>61</v>
      </c>
      <c r="E442" s="6" t="s">
        <v>664</v>
      </c>
      <c r="F442" s="6" t="s">
        <v>63</v>
      </c>
      <c r="G442" s="6" t="s">
        <v>39</v>
      </c>
      <c r="H442" t="s">
        <v>27</v>
      </c>
      <c r="I442" s="6" t="s">
        <v>28</v>
      </c>
      <c r="J442" s="6" t="s">
        <v>52</v>
      </c>
      <c r="K442" s="6" t="s">
        <v>37</v>
      </c>
      <c r="L442" s="6" t="s">
        <v>77</v>
      </c>
      <c r="M442" s="12">
        <v>290</v>
      </c>
      <c r="N442" s="2">
        <v>165.9</v>
      </c>
      <c r="O442" s="4">
        <v>0.21899999999999997</v>
      </c>
      <c r="P442" s="2">
        <v>48111</v>
      </c>
      <c r="Q442" s="2">
        <v>4438</v>
      </c>
      <c r="R442" s="2">
        <v>21843.850000000002</v>
      </c>
      <c r="S442" s="2">
        <v>2215.15</v>
      </c>
      <c r="T442" s="2">
        <v>37574.690999999999</v>
      </c>
      <c r="U442" s="2">
        <v>9077.6909999999953</v>
      </c>
      <c r="V442" s="5">
        <v>0.2415905695671588</v>
      </c>
    </row>
    <row r="443" spans="1:22" x14ac:dyDescent="0.3">
      <c r="A443">
        <f t="shared" si="6"/>
        <v>442</v>
      </c>
      <c r="B443" t="s">
        <v>527</v>
      </c>
      <c r="C443" s="1">
        <v>45859</v>
      </c>
      <c r="D443" t="s">
        <v>26</v>
      </c>
      <c r="E443" s="6" t="s">
        <v>662</v>
      </c>
      <c r="F443" s="6" t="s">
        <v>66</v>
      </c>
      <c r="G443" s="6" t="s">
        <v>68</v>
      </c>
      <c r="H443" t="s">
        <v>15</v>
      </c>
      <c r="I443" s="6" t="s">
        <v>16</v>
      </c>
      <c r="J443" s="6" t="s">
        <v>32</v>
      </c>
      <c r="K443" s="6" t="s">
        <v>18</v>
      </c>
      <c r="L443" s="6" t="s">
        <v>59</v>
      </c>
      <c r="M443" s="12">
        <v>148</v>
      </c>
      <c r="N443" s="2">
        <v>201.95</v>
      </c>
      <c r="O443" s="4">
        <v>4.5700000000000005E-2</v>
      </c>
      <c r="P443" s="2">
        <v>29888.6</v>
      </c>
      <c r="Q443" s="2">
        <v>3056.2</v>
      </c>
      <c r="R443" s="2">
        <v>16776.2</v>
      </c>
      <c r="S443" s="2">
        <v>2184.7000000000003</v>
      </c>
      <c r="T443" s="2">
        <v>28522.690979999999</v>
      </c>
      <c r="U443" s="2">
        <v>6505.5909799999981</v>
      </c>
      <c r="V443" s="5">
        <v>0.22808475485576354</v>
      </c>
    </row>
    <row r="444" spans="1:22" x14ac:dyDescent="0.3">
      <c r="A444">
        <f t="shared" si="6"/>
        <v>443</v>
      </c>
      <c r="B444" t="s">
        <v>528</v>
      </c>
      <c r="C444" s="1">
        <v>45715</v>
      </c>
      <c r="D444" t="s">
        <v>55</v>
      </c>
      <c r="E444" s="6" t="s">
        <v>663</v>
      </c>
      <c r="F444" s="6" t="s">
        <v>21</v>
      </c>
      <c r="G444" s="6" t="s">
        <v>69</v>
      </c>
      <c r="H444" t="s">
        <v>27</v>
      </c>
      <c r="I444" s="6" t="s">
        <v>28</v>
      </c>
      <c r="J444" s="6" t="s">
        <v>84</v>
      </c>
      <c r="K444" s="6" t="s">
        <v>48</v>
      </c>
      <c r="L444" s="6" t="s">
        <v>49</v>
      </c>
      <c r="M444" s="12">
        <v>239</v>
      </c>
      <c r="N444" s="2">
        <v>117.6</v>
      </c>
      <c r="O444" s="4">
        <v>0.16420000000000001</v>
      </c>
      <c r="P444" s="2">
        <v>28106.399999999998</v>
      </c>
      <c r="Q444" s="2">
        <v>3703</v>
      </c>
      <c r="R444" s="2">
        <v>14372.4</v>
      </c>
      <c r="S444" s="2">
        <v>1531.95</v>
      </c>
      <c r="T444" s="2">
        <v>23491.329119999999</v>
      </c>
      <c r="U444" s="2">
        <v>3883.9791199999981</v>
      </c>
      <c r="V444" s="5">
        <v>0.16533671211873935</v>
      </c>
    </row>
    <row r="445" spans="1:22" x14ac:dyDescent="0.3">
      <c r="A445">
        <f t="shared" si="6"/>
        <v>444</v>
      </c>
      <c r="B445" t="s">
        <v>529</v>
      </c>
      <c r="C445" s="1">
        <v>45890</v>
      </c>
      <c r="D445" t="s">
        <v>35</v>
      </c>
      <c r="E445" s="6" t="s">
        <v>662</v>
      </c>
      <c r="F445" s="6" t="s">
        <v>66</v>
      </c>
      <c r="G445" s="6" t="s">
        <v>68</v>
      </c>
      <c r="H445" t="s">
        <v>15</v>
      </c>
      <c r="I445" s="6" t="s">
        <v>23</v>
      </c>
      <c r="J445" s="6" t="s">
        <v>32</v>
      </c>
      <c r="K445" s="6" t="s">
        <v>18</v>
      </c>
      <c r="L445" s="6" t="s">
        <v>80</v>
      </c>
      <c r="M445" s="12">
        <v>57</v>
      </c>
      <c r="N445" s="2">
        <v>74.2</v>
      </c>
      <c r="O445" s="4">
        <v>4.0300000000000002E-2</v>
      </c>
      <c r="P445" s="2">
        <v>4229.4000000000005</v>
      </c>
      <c r="Q445" s="2">
        <v>640.5</v>
      </c>
      <c r="R445" s="2">
        <v>2069.1999999999998</v>
      </c>
      <c r="S445" s="2">
        <v>390.95</v>
      </c>
      <c r="T445" s="2">
        <v>4058.9551800000004</v>
      </c>
      <c r="U445" s="2">
        <v>958.30518000000075</v>
      </c>
      <c r="V445" s="5">
        <v>0.23609651683810923</v>
      </c>
    </row>
    <row r="446" spans="1:22" x14ac:dyDescent="0.3">
      <c r="A446">
        <f t="shared" si="6"/>
        <v>445</v>
      </c>
      <c r="B446" t="s">
        <v>530</v>
      </c>
      <c r="C446" s="1">
        <v>45785</v>
      </c>
      <c r="D446" t="s">
        <v>30</v>
      </c>
      <c r="E446" s="6" t="s">
        <v>662</v>
      </c>
      <c r="F446" s="6" t="s">
        <v>66</v>
      </c>
      <c r="G446" s="6" t="s">
        <v>68</v>
      </c>
      <c r="H446" t="s">
        <v>27</v>
      </c>
      <c r="I446" s="6" t="s">
        <v>16</v>
      </c>
      <c r="J446" s="6" t="s">
        <v>36</v>
      </c>
      <c r="K446" s="6" t="s">
        <v>18</v>
      </c>
      <c r="L446" s="6" t="s">
        <v>71</v>
      </c>
      <c r="M446" s="12">
        <v>54</v>
      </c>
      <c r="N446" s="2">
        <v>85.050000000000011</v>
      </c>
      <c r="O446" s="4">
        <v>0.1</v>
      </c>
      <c r="P446" s="2">
        <v>4592.7000000000007</v>
      </c>
      <c r="Q446" s="2">
        <v>339.15</v>
      </c>
      <c r="R446" s="2">
        <v>2182.25</v>
      </c>
      <c r="S446" s="2">
        <v>267.39999999999998</v>
      </c>
      <c r="T446" s="2">
        <v>4133.4300000000012</v>
      </c>
      <c r="U446" s="2">
        <v>1344.630000000001</v>
      </c>
      <c r="V446" s="5">
        <v>0.32530610171213753</v>
      </c>
    </row>
    <row r="447" spans="1:22" x14ac:dyDescent="0.3">
      <c r="A447">
        <f t="shared" si="6"/>
        <v>446</v>
      </c>
      <c r="B447" t="s">
        <v>531</v>
      </c>
      <c r="C447" s="1">
        <v>46022</v>
      </c>
      <c r="D447" t="s">
        <v>50</v>
      </c>
      <c r="E447" s="6" t="s">
        <v>664</v>
      </c>
      <c r="F447" s="6" t="s">
        <v>63</v>
      </c>
      <c r="G447" s="6" t="s">
        <v>43</v>
      </c>
      <c r="H447" t="s">
        <v>15</v>
      </c>
      <c r="I447" s="6" t="s">
        <v>31</v>
      </c>
      <c r="J447" s="6" t="s">
        <v>32</v>
      </c>
      <c r="K447" s="6" t="s">
        <v>48</v>
      </c>
      <c r="L447" s="6" t="s">
        <v>54</v>
      </c>
      <c r="M447" s="12">
        <v>344</v>
      </c>
      <c r="N447" s="2">
        <v>85.050000000000011</v>
      </c>
      <c r="O447" s="4">
        <v>0.10289999999999999</v>
      </c>
      <c r="P447" s="2">
        <v>29257.200000000004</v>
      </c>
      <c r="Q447" s="2">
        <v>1496.95</v>
      </c>
      <c r="R447" s="2">
        <v>18167.099999999999</v>
      </c>
      <c r="S447" s="2">
        <v>1500.1</v>
      </c>
      <c r="T447" s="2">
        <v>26246.634120000002</v>
      </c>
      <c r="U447" s="2">
        <v>5082.4841200000055</v>
      </c>
      <c r="V447" s="5">
        <v>0.19364327238162471</v>
      </c>
    </row>
    <row r="448" spans="1:22" x14ac:dyDescent="0.3">
      <c r="A448">
        <f t="shared" si="6"/>
        <v>447</v>
      </c>
      <c r="B448" t="s">
        <v>532</v>
      </c>
      <c r="C448" s="1">
        <v>45869</v>
      </c>
      <c r="D448" t="s">
        <v>26</v>
      </c>
      <c r="E448" s="6" t="s">
        <v>662</v>
      </c>
      <c r="F448" s="6" t="s">
        <v>42</v>
      </c>
      <c r="G448" s="6" t="s">
        <v>39</v>
      </c>
      <c r="H448" t="s">
        <v>27</v>
      </c>
      <c r="I448" s="6" t="s">
        <v>16</v>
      </c>
      <c r="J448" s="6" t="s">
        <v>32</v>
      </c>
      <c r="K448" s="6" t="s">
        <v>46</v>
      </c>
      <c r="L448" s="6" t="s">
        <v>81</v>
      </c>
      <c r="M448" s="12">
        <v>38</v>
      </c>
      <c r="N448" s="2">
        <v>145.6</v>
      </c>
      <c r="O448" s="4">
        <v>0.12039999999999999</v>
      </c>
      <c r="P448" s="2">
        <v>5532.8</v>
      </c>
      <c r="Q448" s="2">
        <v>420.7</v>
      </c>
      <c r="R448" s="2">
        <v>2666.65</v>
      </c>
      <c r="S448" s="2">
        <v>418.95000000000005</v>
      </c>
      <c r="T448" s="2">
        <v>4866.6508800000001</v>
      </c>
      <c r="U448" s="2">
        <v>1360.3508800000002</v>
      </c>
      <c r="V448" s="5">
        <v>0.27952506015800338</v>
      </c>
    </row>
    <row r="449" spans="1:22" x14ac:dyDescent="0.3">
      <c r="A449">
        <f t="shared" si="6"/>
        <v>448</v>
      </c>
      <c r="B449" t="s">
        <v>533</v>
      </c>
      <c r="C449" s="1">
        <v>45725</v>
      </c>
      <c r="D449" t="s">
        <v>41</v>
      </c>
      <c r="E449" s="6" t="s">
        <v>664</v>
      </c>
      <c r="F449" s="6" t="s">
        <v>63</v>
      </c>
      <c r="G449" s="6" t="s">
        <v>69</v>
      </c>
      <c r="H449" t="s">
        <v>27</v>
      </c>
      <c r="I449" s="6" t="s">
        <v>28</v>
      </c>
      <c r="J449" s="6" t="s">
        <v>32</v>
      </c>
      <c r="K449" s="6" t="s">
        <v>46</v>
      </c>
      <c r="L449" s="6" t="s">
        <v>83</v>
      </c>
      <c r="M449" s="12">
        <v>596</v>
      </c>
      <c r="N449" s="2">
        <v>136.5</v>
      </c>
      <c r="O449" s="4">
        <v>0.10710000000000001</v>
      </c>
      <c r="P449" s="2">
        <v>81354</v>
      </c>
      <c r="Q449" s="2">
        <v>4505.9000000000005</v>
      </c>
      <c r="R449" s="2">
        <v>37486.049999999996</v>
      </c>
      <c r="S449" s="2">
        <v>4444.6499999999996</v>
      </c>
      <c r="T449" s="2">
        <v>72640.986600000004</v>
      </c>
      <c r="U449" s="2">
        <v>26204.386600000013</v>
      </c>
      <c r="V449" s="5">
        <v>0.36073830803393869</v>
      </c>
    </row>
    <row r="450" spans="1:22" x14ac:dyDescent="0.3">
      <c r="A450">
        <f t="shared" ref="A450:A513" si="7">ROW(B449)</f>
        <v>449</v>
      </c>
      <c r="B450" t="s">
        <v>534</v>
      </c>
      <c r="C450" s="1">
        <v>45890</v>
      </c>
      <c r="D450" t="s">
        <v>35</v>
      </c>
      <c r="E450" s="6" t="s">
        <v>662</v>
      </c>
      <c r="F450" s="6" t="s">
        <v>42</v>
      </c>
      <c r="G450" s="6" t="s">
        <v>64</v>
      </c>
      <c r="H450" t="s">
        <v>27</v>
      </c>
      <c r="I450" s="6" t="s">
        <v>16</v>
      </c>
      <c r="J450" s="6" t="s">
        <v>32</v>
      </c>
      <c r="K450" s="6" t="s">
        <v>37</v>
      </c>
      <c r="L450" s="6" t="s">
        <v>77</v>
      </c>
      <c r="M450" s="12">
        <v>228</v>
      </c>
      <c r="N450" s="2">
        <v>181.29999999999998</v>
      </c>
      <c r="O450" s="4">
        <v>0.11359999999999999</v>
      </c>
      <c r="P450" s="2">
        <v>41336.399999999994</v>
      </c>
      <c r="Q450" s="2">
        <v>3109.0499999999997</v>
      </c>
      <c r="R450" s="2">
        <v>20016.149999999998</v>
      </c>
      <c r="S450" s="2">
        <v>2834.6499999999996</v>
      </c>
      <c r="T450" s="2">
        <v>36640.584959999993</v>
      </c>
      <c r="U450" s="2">
        <v>10680.734959999994</v>
      </c>
      <c r="V450" s="5">
        <v>0.2915001212906399</v>
      </c>
    </row>
    <row r="451" spans="1:22" x14ac:dyDescent="0.3">
      <c r="A451">
        <f t="shared" si="7"/>
        <v>450</v>
      </c>
      <c r="B451" t="s">
        <v>535</v>
      </c>
      <c r="C451" s="1">
        <v>45707</v>
      </c>
      <c r="D451" t="s">
        <v>55</v>
      </c>
      <c r="E451" s="6" t="s">
        <v>663</v>
      </c>
      <c r="F451" s="6" t="s">
        <v>21</v>
      </c>
      <c r="G451" s="6" t="s">
        <v>64</v>
      </c>
      <c r="H451" t="s">
        <v>27</v>
      </c>
      <c r="I451" s="6" t="s">
        <v>28</v>
      </c>
      <c r="J451" s="6" t="s">
        <v>84</v>
      </c>
      <c r="K451" s="6" t="s">
        <v>48</v>
      </c>
      <c r="L451" s="6" t="s">
        <v>56</v>
      </c>
      <c r="M451" s="12">
        <v>177</v>
      </c>
      <c r="N451" s="2">
        <v>108.14999999999999</v>
      </c>
      <c r="O451" s="4">
        <v>0.2097</v>
      </c>
      <c r="P451" s="2">
        <v>19142.55</v>
      </c>
      <c r="Q451" s="2">
        <v>1631</v>
      </c>
      <c r="R451" s="2">
        <v>8927.1</v>
      </c>
      <c r="S451" s="2">
        <v>934.15000000000009</v>
      </c>
      <c r="T451" s="2">
        <v>15128.357264999999</v>
      </c>
      <c r="U451" s="2">
        <v>3636.1072649999987</v>
      </c>
      <c r="V451" s="5">
        <v>0.24035043602600953</v>
      </c>
    </row>
    <row r="452" spans="1:22" x14ac:dyDescent="0.3">
      <c r="A452">
        <f t="shared" si="7"/>
        <v>451</v>
      </c>
      <c r="B452" t="s">
        <v>536</v>
      </c>
      <c r="C452" s="1">
        <v>45795</v>
      </c>
      <c r="D452" t="s">
        <v>30</v>
      </c>
      <c r="E452" s="6" t="s">
        <v>662</v>
      </c>
      <c r="F452" s="6" t="s">
        <v>66</v>
      </c>
      <c r="G452" s="6" t="s">
        <v>68</v>
      </c>
      <c r="H452" t="s">
        <v>27</v>
      </c>
      <c r="I452" s="6" t="s">
        <v>16</v>
      </c>
      <c r="J452" s="6" t="s">
        <v>32</v>
      </c>
      <c r="K452" s="6" t="s">
        <v>18</v>
      </c>
      <c r="L452" s="6" t="s">
        <v>19</v>
      </c>
      <c r="M452" s="12">
        <v>197</v>
      </c>
      <c r="N452" s="2">
        <v>213.5</v>
      </c>
      <c r="O452" s="4">
        <v>6.6199999999999995E-2</v>
      </c>
      <c r="P452" s="2">
        <v>42059.5</v>
      </c>
      <c r="Q452" s="2">
        <v>3276</v>
      </c>
      <c r="R452" s="2">
        <v>20378.400000000001</v>
      </c>
      <c r="S452" s="2">
        <v>2726.5</v>
      </c>
      <c r="T452" s="2">
        <v>39275.161099999998</v>
      </c>
      <c r="U452" s="2">
        <v>12894.261099999996</v>
      </c>
      <c r="V452" s="5">
        <v>0.32830574691137288</v>
      </c>
    </row>
    <row r="453" spans="1:22" x14ac:dyDescent="0.3">
      <c r="A453">
        <f t="shared" si="7"/>
        <v>452</v>
      </c>
      <c r="B453" t="s">
        <v>537</v>
      </c>
      <c r="C453" s="1">
        <v>45809</v>
      </c>
      <c r="D453" t="s">
        <v>58</v>
      </c>
      <c r="E453" s="6" t="s">
        <v>662</v>
      </c>
      <c r="F453" s="6" t="s">
        <v>42</v>
      </c>
      <c r="G453" s="6" t="s">
        <v>22</v>
      </c>
      <c r="H453" t="s">
        <v>27</v>
      </c>
      <c r="I453" s="6" t="s">
        <v>28</v>
      </c>
      <c r="J453" s="6" t="s">
        <v>17</v>
      </c>
      <c r="K453" s="6" t="s">
        <v>33</v>
      </c>
      <c r="L453" s="6" t="s">
        <v>53</v>
      </c>
      <c r="M453" s="12">
        <v>515</v>
      </c>
      <c r="N453" s="2">
        <v>67.55</v>
      </c>
      <c r="O453" s="4">
        <v>0.23499999999999999</v>
      </c>
      <c r="P453" s="2">
        <v>34788.25</v>
      </c>
      <c r="Q453" s="2">
        <v>2447.5500000000002</v>
      </c>
      <c r="R453" s="2">
        <v>15941.099999999999</v>
      </c>
      <c r="S453" s="2">
        <v>1602.6499999999999</v>
      </c>
      <c r="T453" s="2">
        <v>26613.01125</v>
      </c>
      <c r="U453" s="2">
        <v>6621.7112499999994</v>
      </c>
      <c r="V453" s="5">
        <v>0.2488148067047467</v>
      </c>
    </row>
    <row r="454" spans="1:22" x14ac:dyDescent="0.3">
      <c r="A454">
        <f t="shared" si="7"/>
        <v>453</v>
      </c>
      <c r="B454" t="s">
        <v>538</v>
      </c>
      <c r="C454" s="1">
        <v>45975</v>
      </c>
      <c r="D454" t="s">
        <v>67</v>
      </c>
      <c r="E454" s="6" t="s">
        <v>662</v>
      </c>
      <c r="F454" s="6" t="s">
        <v>42</v>
      </c>
      <c r="G454" s="6" t="s">
        <v>69</v>
      </c>
      <c r="H454" t="s">
        <v>15</v>
      </c>
      <c r="I454" s="6" t="s">
        <v>23</v>
      </c>
      <c r="J454" s="6" t="s">
        <v>32</v>
      </c>
      <c r="K454" s="6" t="s">
        <v>18</v>
      </c>
      <c r="L454" s="6" t="s">
        <v>80</v>
      </c>
      <c r="M454" s="12">
        <v>54</v>
      </c>
      <c r="N454" s="2">
        <v>83.3</v>
      </c>
      <c r="O454" s="4">
        <v>7.0400000000000004E-2</v>
      </c>
      <c r="P454" s="2">
        <v>4498.2</v>
      </c>
      <c r="Q454" s="2">
        <v>1380.75</v>
      </c>
      <c r="R454" s="2">
        <v>2007.25</v>
      </c>
      <c r="S454" s="2">
        <v>373.45</v>
      </c>
      <c r="T454" s="2">
        <v>4181.5267199999998</v>
      </c>
      <c r="U454" s="2">
        <v>420.07672000000002</v>
      </c>
      <c r="V454" s="5">
        <v>0.10046013050467846</v>
      </c>
    </row>
    <row r="455" spans="1:22" x14ac:dyDescent="0.3">
      <c r="A455">
        <f t="shared" si="7"/>
        <v>454</v>
      </c>
      <c r="B455" t="s">
        <v>539</v>
      </c>
      <c r="C455" s="1">
        <v>45702</v>
      </c>
      <c r="D455" t="s">
        <v>55</v>
      </c>
      <c r="E455" s="6" t="s">
        <v>663</v>
      </c>
      <c r="F455" s="6" t="s">
        <v>21</v>
      </c>
      <c r="G455" s="6" t="s">
        <v>39</v>
      </c>
      <c r="H455" t="s">
        <v>15</v>
      </c>
      <c r="I455" s="6" t="s">
        <v>23</v>
      </c>
      <c r="J455" s="6" t="s">
        <v>52</v>
      </c>
      <c r="K455" s="6" t="s">
        <v>48</v>
      </c>
      <c r="L455" s="6" t="s">
        <v>54</v>
      </c>
      <c r="M455" s="12">
        <v>73</v>
      </c>
      <c r="N455" s="2">
        <v>78.75</v>
      </c>
      <c r="O455" s="4">
        <v>0.12789999999999999</v>
      </c>
      <c r="P455" s="2">
        <v>5748.75</v>
      </c>
      <c r="Q455" s="2">
        <v>999.59999999999991</v>
      </c>
      <c r="R455" s="2">
        <v>3521.35</v>
      </c>
      <c r="S455" s="2">
        <v>595.35</v>
      </c>
      <c r="T455" s="2">
        <v>5013.4848750000001</v>
      </c>
      <c r="U455" s="2">
        <v>-102.81512500000008</v>
      </c>
      <c r="V455" s="5">
        <v>-2.0507716202095867E-2</v>
      </c>
    </row>
    <row r="456" spans="1:22" x14ac:dyDescent="0.3">
      <c r="A456">
        <f t="shared" si="7"/>
        <v>455</v>
      </c>
      <c r="B456" t="s">
        <v>540</v>
      </c>
      <c r="C456" s="1">
        <v>45931</v>
      </c>
      <c r="D456" t="s">
        <v>20</v>
      </c>
      <c r="E456" s="6" t="s">
        <v>664</v>
      </c>
      <c r="F456" s="6" t="s">
        <v>63</v>
      </c>
      <c r="G456" s="6" t="s">
        <v>43</v>
      </c>
      <c r="H456" t="s">
        <v>27</v>
      </c>
      <c r="I456" s="6" t="s">
        <v>28</v>
      </c>
      <c r="J456" s="6" t="s">
        <v>17</v>
      </c>
      <c r="K456" s="6" t="s">
        <v>18</v>
      </c>
      <c r="L456" s="6" t="s">
        <v>71</v>
      </c>
      <c r="M456" s="12">
        <v>413</v>
      </c>
      <c r="N456" s="2">
        <v>96.6</v>
      </c>
      <c r="O456" s="4">
        <v>0.13750000000000001</v>
      </c>
      <c r="P456" s="2">
        <v>39895.799999999996</v>
      </c>
      <c r="Q456" s="2">
        <v>3588.2</v>
      </c>
      <c r="R456" s="2">
        <v>16516.850000000002</v>
      </c>
      <c r="S456" s="2">
        <v>1796.55</v>
      </c>
      <c r="T456" s="2">
        <v>34410.127499999995</v>
      </c>
      <c r="U456" s="2">
        <v>12508.527499999993</v>
      </c>
      <c r="V456" s="5">
        <v>0.36351296576858061</v>
      </c>
    </row>
    <row r="457" spans="1:22" x14ac:dyDescent="0.3">
      <c r="A457">
        <f t="shared" si="7"/>
        <v>456</v>
      </c>
      <c r="B457" t="s">
        <v>541</v>
      </c>
      <c r="C457" s="1">
        <v>45814</v>
      </c>
      <c r="D457" t="s">
        <v>58</v>
      </c>
      <c r="E457" s="6" t="s">
        <v>662</v>
      </c>
      <c r="F457" s="6" t="s">
        <v>66</v>
      </c>
      <c r="G457" s="6" t="s">
        <v>22</v>
      </c>
      <c r="H457" t="s">
        <v>27</v>
      </c>
      <c r="I457" s="6" t="s">
        <v>28</v>
      </c>
      <c r="J457" s="6" t="s">
        <v>32</v>
      </c>
      <c r="K457" s="6" t="s">
        <v>48</v>
      </c>
      <c r="L457" s="6" t="s">
        <v>56</v>
      </c>
      <c r="M457" s="12">
        <v>119</v>
      </c>
      <c r="N457" s="2">
        <v>105.7</v>
      </c>
      <c r="O457" s="4">
        <v>0.10640000000000001</v>
      </c>
      <c r="P457" s="2">
        <v>12578.300000000001</v>
      </c>
      <c r="Q457" s="2">
        <v>692.30000000000007</v>
      </c>
      <c r="R457" s="2">
        <v>6261.15</v>
      </c>
      <c r="S457" s="2">
        <v>774.2</v>
      </c>
      <c r="T457" s="2">
        <v>11239.96888</v>
      </c>
      <c r="U457" s="2">
        <v>3512.3188799999998</v>
      </c>
      <c r="V457" s="5">
        <v>0.31248475129230069</v>
      </c>
    </row>
    <row r="458" spans="1:22" x14ac:dyDescent="0.3">
      <c r="A458">
        <f t="shared" si="7"/>
        <v>457</v>
      </c>
      <c r="B458" t="s">
        <v>542</v>
      </c>
      <c r="C458" s="1">
        <v>46000</v>
      </c>
      <c r="D458" t="s">
        <v>50</v>
      </c>
      <c r="E458" s="6" t="s">
        <v>662</v>
      </c>
      <c r="F458" s="6" t="s">
        <v>42</v>
      </c>
      <c r="G458" s="6" t="s">
        <v>39</v>
      </c>
      <c r="H458" t="s">
        <v>15</v>
      </c>
      <c r="I458" s="6" t="s">
        <v>23</v>
      </c>
      <c r="J458" s="6" t="s">
        <v>32</v>
      </c>
      <c r="K458" s="6" t="s">
        <v>18</v>
      </c>
      <c r="L458" s="6" t="s">
        <v>25</v>
      </c>
      <c r="M458" s="12">
        <v>117</v>
      </c>
      <c r="N458" s="2">
        <v>110.60000000000001</v>
      </c>
      <c r="O458" s="4">
        <v>6.2300000000000001E-2</v>
      </c>
      <c r="P458" s="2">
        <v>12940.2</v>
      </c>
      <c r="Q458" s="2">
        <v>1892.8</v>
      </c>
      <c r="R458" s="2">
        <v>5824.3499999999995</v>
      </c>
      <c r="S458" s="2">
        <v>1207.5</v>
      </c>
      <c r="T458" s="2">
        <v>12134.025540000001</v>
      </c>
      <c r="U458" s="2">
        <v>3209.3755400000009</v>
      </c>
      <c r="V458" s="5">
        <v>0.26449388370085802</v>
      </c>
    </row>
    <row r="459" spans="1:22" x14ac:dyDescent="0.3">
      <c r="A459">
        <f t="shared" si="7"/>
        <v>458</v>
      </c>
      <c r="B459" t="s">
        <v>543</v>
      </c>
      <c r="C459" s="1">
        <v>45869</v>
      </c>
      <c r="D459" t="s">
        <v>26</v>
      </c>
      <c r="E459" s="6" t="s">
        <v>662</v>
      </c>
      <c r="F459" s="6" t="s">
        <v>42</v>
      </c>
      <c r="G459" s="6" t="s">
        <v>39</v>
      </c>
      <c r="H459" t="s">
        <v>15</v>
      </c>
      <c r="I459" s="6" t="s">
        <v>16</v>
      </c>
      <c r="J459" s="6" t="s">
        <v>84</v>
      </c>
      <c r="K459" s="6" t="s">
        <v>18</v>
      </c>
      <c r="L459" s="6" t="s">
        <v>59</v>
      </c>
      <c r="M459" s="12">
        <v>120</v>
      </c>
      <c r="N459" s="2">
        <v>203.70000000000002</v>
      </c>
      <c r="O459" s="4">
        <v>0.20629999999999998</v>
      </c>
      <c r="P459" s="2">
        <v>24444.000000000004</v>
      </c>
      <c r="Q459" s="2">
        <v>3364.2000000000003</v>
      </c>
      <c r="R459" s="2">
        <v>11627.7</v>
      </c>
      <c r="S459" s="2">
        <v>1292.55</v>
      </c>
      <c r="T459" s="2">
        <v>19401.202800000006</v>
      </c>
      <c r="U459" s="2">
        <v>3116.7528000000061</v>
      </c>
      <c r="V459" s="5">
        <v>0.1606474006859</v>
      </c>
    </row>
    <row r="460" spans="1:22" x14ac:dyDescent="0.3">
      <c r="A460">
        <f t="shared" si="7"/>
        <v>459</v>
      </c>
      <c r="B460" t="s">
        <v>544</v>
      </c>
      <c r="C460" s="1">
        <v>45670</v>
      </c>
      <c r="D460" t="s">
        <v>44</v>
      </c>
      <c r="E460" s="6" t="s">
        <v>664</v>
      </c>
      <c r="F460" s="6" t="s">
        <v>63</v>
      </c>
      <c r="G460" s="6" t="s">
        <v>68</v>
      </c>
      <c r="H460" t="s">
        <v>15</v>
      </c>
      <c r="I460" s="6" t="s">
        <v>23</v>
      </c>
      <c r="J460" s="6" t="s">
        <v>32</v>
      </c>
      <c r="K460" s="6" t="s">
        <v>48</v>
      </c>
      <c r="L460" s="6" t="s">
        <v>57</v>
      </c>
      <c r="M460" s="12">
        <v>86</v>
      </c>
      <c r="N460" s="2">
        <v>87.15</v>
      </c>
      <c r="O460" s="4">
        <v>3.5200000000000002E-2</v>
      </c>
      <c r="P460" s="2">
        <v>7494.9000000000005</v>
      </c>
      <c r="Q460" s="2">
        <v>1878.45</v>
      </c>
      <c r="R460" s="2">
        <v>5189.8</v>
      </c>
      <c r="S460" s="2">
        <v>773.5</v>
      </c>
      <c r="T460" s="2">
        <v>7231.0795200000002</v>
      </c>
      <c r="U460" s="2">
        <v>-610.67048</v>
      </c>
      <c r="V460" s="5">
        <v>-8.4450804103451488E-2</v>
      </c>
    </row>
    <row r="461" spans="1:22" x14ac:dyDescent="0.3">
      <c r="A461">
        <f t="shared" si="7"/>
        <v>460</v>
      </c>
      <c r="B461" t="s">
        <v>545</v>
      </c>
      <c r="C461" s="1">
        <v>45873</v>
      </c>
      <c r="D461" t="s">
        <v>35</v>
      </c>
      <c r="E461" s="6" t="s">
        <v>662</v>
      </c>
      <c r="F461" s="6" t="s">
        <v>66</v>
      </c>
      <c r="G461" s="6" t="s">
        <v>69</v>
      </c>
      <c r="H461" t="s">
        <v>27</v>
      </c>
      <c r="I461" s="6" t="s">
        <v>16</v>
      </c>
      <c r="J461" s="6" t="s">
        <v>52</v>
      </c>
      <c r="K461" s="6" t="s">
        <v>18</v>
      </c>
      <c r="L461" s="6" t="s">
        <v>25</v>
      </c>
      <c r="M461" s="12">
        <v>183</v>
      </c>
      <c r="N461" s="2">
        <v>91.7</v>
      </c>
      <c r="O461" s="4">
        <v>0.18780000000000002</v>
      </c>
      <c r="P461" s="2">
        <v>16781.100000000002</v>
      </c>
      <c r="Q461" s="2">
        <v>2012.5</v>
      </c>
      <c r="R461" s="2">
        <v>6542.2</v>
      </c>
      <c r="S461" s="2">
        <v>909.30000000000007</v>
      </c>
      <c r="T461" s="2">
        <v>13629.609420000003</v>
      </c>
      <c r="U461" s="2">
        <v>4165.6094200000034</v>
      </c>
      <c r="V461" s="5">
        <v>0.30562940518951442</v>
      </c>
    </row>
    <row r="462" spans="1:22" x14ac:dyDescent="0.3">
      <c r="A462">
        <f t="shared" si="7"/>
        <v>461</v>
      </c>
      <c r="B462" t="s">
        <v>546</v>
      </c>
      <c r="C462" s="1">
        <v>45965</v>
      </c>
      <c r="D462" t="s">
        <v>67</v>
      </c>
      <c r="E462" s="6" t="s">
        <v>662</v>
      </c>
      <c r="F462" s="6" t="s">
        <v>66</v>
      </c>
      <c r="G462" s="6" t="s">
        <v>39</v>
      </c>
      <c r="H462" t="s">
        <v>15</v>
      </c>
      <c r="I462" s="6" t="s">
        <v>23</v>
      </c>
      <c r="J462" s="6" t="s">
        <v>24</v>
      </c>
      <c r="K462" s="6" t="s">
        <v>18</v>
      </c>
      <c r="L462" s="6" t="s">
        <v>80</v>
      </c>
      <c r="M462" s="12">
        <v>109</v>
      </c>
      <c r="N462" s="2">
        <v>76.649999999999991</v>
      </c>
      <c r="O462" s="4">
        <v>0.11699999999999999</v>
      </c>
      <c r="P462" s="2">
        <v>8354.8499999999985</v>
      </c>
      <c r="Q462" s="2">
        <v>1431.5</v>
      </c>
      <c r="R462" s="2">
        <v>3664.15</v>
      </c>
      <c r="S462" s="2">
        <v>750.40000000000009</v>
      </c>
      <c r="T462" s="2">
        <v>7377.3325499999992</v>
      </c>
      <c r="U462" s="2">
        <v>1531.2825499999994</v>
      </c>
      <c r="V462" s="5">
        <v>0.20756588368786488</v>
      </c>
    </row>
    <row r="463" spans="1:22" x14ac:dyDescent="0.3">
      <c r="A463">
        <f t="shared" si="7"/>
        <v>462</v>
      </c>
      <c r="B463" t="s">
        <v>547</v>
      </c>
      <c r="C463" s="1">
        <v>45854</v>
      </c>
      <c r="D463" t="s">
        <v>26</v>
      </c>
      <c r="E463" s="6" t="s">
        <v>662</v>
      </c>
      <c r="F463" s="6" t="s">
        <v>42</v>
      </c>
      <c r="G463" s="6" t="s">
        <v>22</v>
      </c>
      <c r="H463" t="s">
        <v>27</v>
      </c>
      <c r="I463" s="6" t="s">
        <v>28</v>
      </c>
      <c r="J463" s="6" t="s">
        <v>17</v>
      </c>
      <c r="K463" s="6" t="s">
        <v>37</v>
      </c>
      <c r="L463" s="6" t="s">
        <v>75</v>
      </c>
      <c r="M463" s="12">
        <v>159</v>
      </c>
      <c r="N463" s="2">
        <v>115.15</v>
      </c>
      <c r="O463" s="4">
        <v>0.1628</v>
      </c>
      <c r="P463" s="2">
        <v>18308.850000000002</v>
      </c>
      <c r="Q463" s="2">
        <v>1647.8</v>
      </c>
      <c r="R463" s="2">
        <v>7533.75</v>
      </c>
      <c r="S463" s="2">
        <v>880.6</v>
      </c>
      <c r="T463" s="2">
        <v>15328.169220000002</v>
      </c>
      <c r="U463" s="2">
        <v>5266.019220000001</v>
      </c>
      <c r="V463" s="5">
        <v>0.3435517408777668</v>
      </c>
    </row>
    <row r="464" spans="1:22" x14ac:dyDescent="0.3">
      <c r="A464">
        <f t="shared" si="7"/>
        <v>463</v>
      </c>
      <c r="B464" t="s">
        <v>548</v>
      </c>
      <c r="C464" s="1">
        <v>46002</v>
      </c>
      <c r="D464" t="s">
        <v>50</v>
      </c>
      <c r="E464" s="6" t="s">
        <v>663</v>
      </c>
      <c r="F464" s="6" t="s">
        <v>21</v>
      </c>
      <c r="G464" s="6" t="s">
        <v>39</v>
      </c>
      <c r="H464" t="s">
        <v>27</v>
      </c>
      <c r="I464" s="6" t="s">
        <v>16</v>
      </c>
      <c r="J464" s="6" t="s">
        <v>32</v>
      </c>
      <c r="K464" s="6" t="s">
        <v>18</v>
      </c>
      <c r="L464" s="6" t="s">
        <v>19</v>
      </c>
      <c r="M464" s="12">
        <v>142</v>
      </c>
      <c r="N464" s="2">
        <v>191.1</v>
      </c>
      <c r="O464" s="4">
        <v>9.4499999999999987E-2</v>
      </c>
      <c r="P464" s="2">
        <v>27136.2</v>
      </c>
      <c r="Q464" s="2">
        <v>2349.2000000000003</v>
      </c>
      <c r="R464" s="2">
        <v>14211.400000000001</v>
      </c>
      <c r="S464" s="2">
        <v>1662.15</v>
      </c>
      <c r="T464" s="2">
        <v>24571.829099999999</v>
      </c>
      <c r="U464" s="2">
        <v>6349.0790999999954</v>
      </c>
      <c r="V464" s="5">
        <v>0.25838854218630375</v>
      </c>
    </row>
    <row r="465" spans="1:22" x14ac:dyDescent="0.3">
      <c r="A465">
        <f t="shared" si="7"/>
        <v>464</v>
      </c>
      <c r="B465" t="s">
        <v>549</v>
      </c>
      <c r="C465" s="1">
        <v>45963</v>
      </c>
      <c r="D465" t="s">
        <v>67</v>
      </c>
      <c r="E465" s="6" t="s">
        <v>662</v>
      </c>
      <c r="F465" s="6" t="s">
        <v>66</v>
      </c>
      <c r="G465" s="6" t="s">
        <v>65</v>
      </c>
      <c r="H465" t="s">
        <v>15</v>
      </c>
      <c r="I465" s="6" t="s">
        <v>16</v>
      </c>
      <c r="J465" s="6" t="s">
        <v>32</v>
      </c>
      <c r="K465" s="6" t="s">
        <v>33</v>
      </c>
      <c r="L465" s="6" t="s">
        <v>34</v>
      </c>
      <c r="M465" s="12">
        <v>235</v>
      </c>
      <c r="N465" s="2">
        <v>98</v>
      </c>
      <c r="O465" s="4">
        <v>5.2300000000000006E-2</v>
      </c>
      <c r="P465" s="2">
        <v>23030</v>
      </c>
      <c r="Q465" s="2">
        <v>2056.9500000000003</v>
      </c>
      <c r="R465" s="2">
        <v>12817.349999999999</v>
      </c>
      <c r="S465" s="2">
        <v>1402.1000000000001</v>
      </c>
      <c r="T465" s="2">
        <v>21825.530999999999</v>
      </c>
      <c r="U465" s="2">
        <v>5549.1310000000012</v>
      </c>
      <c r="V465" s="5">
        <v>0.25424953005725276</v>
      </c>
    </row>
    <row r="466" spans="1:22" x14ac:dyDescent="0.3">
      <c r="A466">
        <f t="shared" si="7"/>
        <v>465</v>
      </c>
      <c r="B466" t="s">
        <v>550</v>
      </c>
      <c r="C466" s="1">
        <v>45797</v>
      </c>
      <c r="D466" t="s">
        <v>30</v>
      </c>
      <c r="E466" s="6" t="s">
        <v>664</v>
      </c>
      <c r="F466" s="6" t="s">
        <v>63</v>
      </c>
      <c r="G466" s="6" t="s">
        <v>43</v>
      </c>
      <c r="H466" t="s">
        <v>15</v>
      </c>
      <c r="I466" s="6" t="s">
        <v>23</v>
      </c>
      <c r="J466" s="6" t="s">
        <v>17</v>
      </c>
      <c r="K466" s="6" t="s">
        <v>37</v>
      </c>
      <c r="L466" s="6" t="s">
        <v>75</v>
      </c>
      <c r="M466" s="12">
        <v>94</v>
      </c>
      <c r="N466" s="2">
        <v>129.15</v>
      </c>
      <c r="O466" s="4">
        <v>8.5500000000000007E-2</v>
      </c>
      <c r="P466" s="2">
        <v>12140.1</v>
      </c>
      <c r="Q466" s="2">
        <v>1745.8000000000002</v>
      </c>
      <c r="R466" s="2">
        <v>5466.65</v>
      </c>
      <c r="S466" s="2">
        <v>1188.25</v>
      </c>
      <c r="T466" s="2">
        <v>11102.121450000001</v>
      </c>
      <c r="U466" s="2">
        <v>2701.4214500000007</v>
      </c>
      <c r="V466" s="5">
        <v>0.2433247971719856</v>
      </c>
    </row>
    <row r="467" spans="1:22" x14ac:dyDescent="0.3">
      <c r="A467">
        <f t="shared" si="7"/>
        <v>466</v>
      </c>
      <c r="B467" t="s">
        <v>551</v>
      </c>
      <c r="C467" s="1">
        <v>45906</v>
      </c>
      <c r="D467" t="s">
        <v>14</v>
      </c>
      <c r="E467" s="6" t="s">
        <v>664</v>
      </c>
      <c r="F467" s="6" t="s">
        <v>63</v>
      </c>
      <c r="G467" s="6" t="s">
        <v>43</v>
      </c>
      <c r="H467" t="s">
        <v>15</v>
      </c>
      <c r="I467" s="6" t="s">
        <v>23</v>
      </c>
      <c r="J467" s="6" t="s">
        <v>24</v>
      </c>
      <c r="K467" s="6" t="s">
        <v>48</v>
      </c>
      <c r="L467" s="6" t="s">
        <v>74</v>
      </c>
      <c r="M467" s="12">
        <v>34</v>
      </c>
      <c r="N467" s="2">
        <v>143.85000000000002</v>
      </c>
      <c r="O467" s="4">
        <v>0.1444</v>
      </c>
      <c r="P467" s="2">
        <v>4890.9000000000005</v>
      </c>
      <c r="Q467" s="2">
        <v>852.25</v>
      </c>
      <c r="R467" s="2">
        <v>2770.9500000000003</v>
      </c>
      <c r="S467" s="2">
        <v>435.75</v>
      </c>
      <c r="T467" s="2">
        <v>4184.6540400000004</v>
      </c>
      <c r="U467" s="2">
        <v>125.70404000000008</v>
      </c>
      <c r="V467" s="5">
        <v>3.0039290894403319E-2</v>
      </c>
    </row>
    <row r="468" spans="1:22" x14ac:dyDescent="0.3">
      <c r="A468">
        <f t="shared" si="7"/>
        <v>467</v>
      </c>
      <c r="B468" t="s">
        <v>552</v>
      </c>
      <c r="C468" s="1">
        <v>45996</v>
      </c>
      <c r="D468" t="s">
        <v>50</v>
      </c>
      <c r="E468" s="6" t="s">
        <v>663</v>
      </c>
      <c r="F468" s="6" t="s">
        <v>21</v>
      </c>
      <c r="G468" s="6" t="s">
        <v>64</v>
      </c>
      <c r="H468" t="s">
        <v>15</v>
      </c>
      <c r="I468" s="6" t="s">
        <v>23</v>
      </c>
      <c r="J468" s="6" t="s">
        <v>32</v>
      </c>
      <c r="K468" s="6" t="s">
        <v>33</v>
      </c>
      <c r="L468" s="6" t="s">
        <v>70</v>
      </c>
      <c r="M468" s="12">
        <v>62</v>
      </c>
      <c r="N468" s="2">
        <v>103.6</v>
      </c>
      <c r="O468" s="4">
        <v>4.9200000000000001E-2</v>
      </c>
      <c r="P468" s="2">
        <v>6423.2</v>
      </c>
      <c r="Q468" s="2">
        <v>815.15</v>
      </c>
      <c r="R468" s="2">
        <v>3587.1499999999996</v>
      </c>
      <c r="S468" s="2">
        <v>622.65</v>
      </c>
      <c r="T468" s="2">
        <v>6107.1785599999994</v>
      </c>
      <c r="U468" s="2">
        <v>1082.22856</v>
      </c>
      <c r="V468" s="5">
        <v>0.17720597971184915</v>
      </c>
    </row>
    <row r="469" spans="1:22" x14ac:dyDescent="0.3">
      <c r="A469">
        <f t="shared" si="7"/>
        <v>468</v>
      </c>
      <c r="B469" t="s">
        <v>553</v>
      </c>
      <c r="C469" s="1">
        <v>46020</v>
      </c>
      <c r="D469" t="s">
        <v>50</v>
      </c>
      <c r="E469" s="6" t="s">
        <v>662</v>
      </c>
      <c r="F469" s="6" t="s">
        <v>66</v>
      </c>
      <c r="G469" s="6" t="s">
        <v>64</v>
      </c>
      <c r="H469" t="s">
        <v>27</v>
      </c>
      <c r="I469" s="6" t="s">
        <v>31</v>
      </c>
      <c r="J469" s="6" t="s">
        <v>36</v>
      </c>
      <c r="K469" s="6" t="s">
        <v>33</v>
      </c>
      <c r="L469" s="6" t="s">
        <v>73</v>
      </c>
      <c r="M469" s="12">
        <v>416</v>
      </c>
      <c r="N469" s="2">
        <v>126.35</v>
      </c>
      <c r="O469" s="4">
        <v>0.22519999999999998</v>
      </c>
      <c r="P469" s="2">
        <v>52561.599999999999</v>
      </c>
      <c r="Q469" s="2">
        <v>1988.3500000000001</v>
      </c>
      <c r="R469" s="2">
        <v>26375.300000000003</v>
      </c>
      <c r="S469" s="2">
        <v>1908.55</v>
      </c>
      <c r="T469" s="2">
        <v>40724.727680000004</v>
      </c>
      <c r="U469" s="2">
        <v>10452.527679999997</v>
      </c>
      <c r="V469" s="5">
        <v>0.25666292386611228</v>
      </c>
    </row>
    <row r="470" spans="1:22" x14ac:dyDescent="0.3">
      <c r="A470">
        <f t="shared" si="7"/>
        <v>469</v>
      </c>
      <c r="B470" t="s">
        <v>554</v>
      </c>
      <c r="C470" s="1">
        <v>45801</v>
      </c>
      <c r="D470" t="s">
        <v>30</v>
      </c>
      <c r="E470" s="6" t="s">
        <v>662</v>
      </c>
      <c r="F470" s="6" t="s">
        <v>42</v>
      </c>
      <c r="G470" s="6" t="s">
        <v>65</v>
      </c>
      <c r="H470" t="s">
        <v>27</v>
      </c>
      <c r="I470" s="6" t="s">
        <v>28</v>
      </c>
      <c r="J470" s="6" t="s">
        <v>52</v>
      </c>
      <c r="K470" s="6" t="s">
        <v>18</v>
      </c>
      <c r="L470" s="6" t="s">
        <v>80</v>
      </c>
      <c r="M470" s="12">
        <v>430</v>
      </c>
      <c r="N470" s="2">
        <v>79.8</v>
      </c>
      <c r="O470" s="4">
        <v>0.20199999999999999</v>
      </c>
      <c r="P470" s="2">
        <v>34314</v>
      </c>
      <c r="Q470" s="2">
        <v>3447.1499999999996</v>
      </c>
      <c r="R470" s="2">
        <v>13143.55</v>
      </c>
      <c r="S470" s="2">
        <v>1572.55</v>
      </c>
      <c r="T470" s="2">
        <v>27382.572</v>
      </c>
      <c r="U470" s="2">
        <v>9219.3220000000019</v>
      </c>
      <c r="V470" s="5">
        <v>0.33668575764175851</v>
      </c>
    </row>
    <row r="471" spans="1:22" x14ac:dyDescent="0.3">
      <c r="A471">
        <f t="shared" si="7"/>
        <v>470</v>
      </c>
      <c r="B471" t="s">
        <v>555</v>
      </c>
      <c r="C471" s="1">
        <v>45678</v>
      </c>
      <c r="D471" t="s">
        <v>44</v>
      </c>
      <c r="E471" s="6" t="s">
        <v>664</v>
      </c>
      <c r="F471" s="6" t="s">
        <v>63</v>
      </c>
      <c r="G471" s="6" t="s">
        <v>22</v>
      </c>
      <c r="H471" t="s">
        <v>15</v>
      </c>
      <c r="I471" s="6" t="s">
        <v>23</v>
      </c>
      <c r="J471" s="6" t="s">
        <v>24</v>
      </c>
      <c r="K471" s="6" t="s">
        <v>18</v>
      </c>
      <c r="L471" s="6" t="s">
        <v>59</v>
      </c>
      <c r="M471" s="12">
        <v>23</v>
      </c>
      <c r="N471" s="2">
        <v>222.60000000000002</v>
      </c>
      <c r="O471" s="4">
        <v>0.1198</v>
      </c>
      <c r="P471" s="2">
        <v>5119.8</v>
      </c>
      <c r="Q471" s="2">
        <v>620.55000000000007</v>
      </c>
      <c r="R471" s="2">
        <v>2723.7</v>
      </c>
      <c r="S471" s="2">
        <v>496.65</v>
      </c>
      <c r="T471" s="2">
        <v>4506.4479600000004</v>
      </c>
      <c r="U471" s="2">
        <v>665.54796000000044</v>
      </c>
      <c r="V471" s="5">
        <v>0.14768792758898305</v>
      </c>
    </row>
    <row r="472" spans="1:22" x14ac:dyDescent="0.3">
      <c r="A472">
        <f t="shared" si="7"/>
        <v>471</v>
      </c>
      <c r="B472" t="s">
        <v>556</v>
      </c>
      <c r="C472" s="1">
        <v>45903</v>
      </c>
      <c r="D472" t="s">
        <v>14</v>
      </c>
      <c r="E472" s="6" t="s">
        <v>662</v>
      </c>
      <c r="F472" s="6" t="s">
        <v>66</v>
      </c>
      <c r="G472" s="6" t="s">
        <v>43</v>
      </c>
      <c r="H472" t="s">
        <v>27</v>
      </c>
      <c r="I472" s="6" t="s">
        <v>16</v>
      </c>
      <c r="J472" s="6" t="s">
        <v>84</v>
      </c>
      <c r="K472" s="6" t="s">
        <v>18</v>
      </c>
      <c r="L472" s="6" t="s">
        <v>59</v>
      </c>
      <c r="M472" s="12">
        <v>259</v>
      </c>
      <c r="N472" s="2">
        <v>191.45</v>
      </c>
      <c r="O472" s="4">
        <v>0.15789999999999998</v>
      </c>
      <c r="P472" s="2">
        <v>49585.549999999996</v>
      </c>
      <c r="Q472" s="2">
        <v>11596.55</v>
      </c>
      <c r="R472" s="2">
        <v>23591.05</v>
      </c>
      <c r="S472" s="2">
        <v>2919</v>
      </c>
      <c r="T472" s="2">
        <v>41755.991654999998</v>
      </c>
      <c r="U472" s="2">
        <v>3649.3916549999994</v>
      </c>
      <c r="V472" s="5">
        <v>8.7398035835247842E-2</v>
      </c>
    </row>
    <row r="473" spans="1:22" x14ac:dyDescent="0.3">
      <c r="A473">
        <f t="shared" si="7"/>
        <v>472</v>
      </c>
      <c r="B473" t="s">
        <v>557</v>
      </c>
      <c r="C473" s="1">
        <v>45829</v>
      </c>
      <c r="D473" t="s">
        <v>58</v>
      </c>
      <c r="E473" s="6" t="s">
        <v>664</v>
      </c>
      <c r="F473" s="6" t="s">
        <v>63</v>
      </c>
      <c r="G473" s="6" t="s">
        <v>82</v>
      </c>
      <c r="H473" t="s">
        <v>15</v>
      </c>
      <c r="I473" s="6" t="s">
        <v>23</v>
      </c>
      <c r="J473" s="6" t="s">
        <v>24</v>
      </c>
      <c r="K473" s="6" t="s">
        <v>33</v>
      </c>
      <c r="L473" s="6" t="s">
        <v>73</v>
      </c>
      <c r="M473" s="12">
        <v>59</v>
      </c>
      <c r="N473" s="2">
        <v>130.20000000000002</v>
      </c>
      <c r="O473" s="4">
        <v>9.5500000000000002E-2</v>
      </c>
      <c r="P473" s="2">
        <v>7681.8000000000011</v>
      </c>
      <c r="Q473" s="2">
        <v>1193.5</v>
      </c>
      <c r="R473" s="2">
        <v>4011</v>
      </c>
      <c r="S473" s="2">
        <v>614.59999999999991</v>
      </c>
      <c r="T473" s="2">
        <v>6948.1881000000012</v>
      </c>
      <c r="U473" s="2">
        <v>1129.0881000000008</v>
      </c>
      <c r="V473" s="5">
        <v>0.16250108427548193</v>
      </c>
    </row>
    <row r="474" spans="1:22" x14ac:dyDescent="0.3">
      <c r="A474">
        <f t="shared" si="7"/>
        <v>473</v>
      </c>
      <c r="B474" t="s">
        <v>558</v>
      </c>
      <c r="C474" s="1">
        <v>45963</v>
      </c>
      <c r="D474" t="s">
        <v>67</v>
      </c>
      <c r="E474" s="6" t="s">
        <v>662</v>
      </c>
      <c r="F474" s="6" t="s">
        <v>66</v>
      </c>
      <c r="G474" s="6" t="s">
        <v>39</v>
      </c>
      <c r="H474" t="s">
        <v>27</v>
      </c>
      <c r="I474" s="6" t="s">
        <v>16</v>
      </c>
      <c r="J474" s="6" t="s">
        <v>24</v>
      </c>
      <c r="K474" s="6" t="s">
        <v>46</v>
      </c>
      <c r="L474" s="6" t="s">
        <v>51</v>
      </c>
      <c r="M474" s="12">
        <v>108</v>
      </c>
      <c r="N474" s="2">
        <v>142.80000000000001</v>
      </c>
      <c r="O474" s="4">
        <v>0.16109999999999999</v>
      </c>
      <c r="P474" s="2">
        <v>15422.400000000001</v>
      </c>
      <c r="Q474" s="2">
        <v>1528.1</v>
      </c>
      <c r="R474" s="2">
        <v>6346.55</v>
      </c>
      <c r="S474" s="2">
        <v>1178.45</v>
      </c>
      <c r="T474" s="2">
        <v>12937.851360000001</v>
      </c>
      <c r="U474" s="2">
        <v>3884.7513599999997</v>
      </c>
      <c r="V474" s="5">
        <v>0.30026248191492588</v>
      </c>
    </row>
    <row r="475" spans="1:22" x14ac:dyDescent="0.3">
      <c r="A475">
        <f t="shared" si="7"/>
        <v>474</v>
      </c>
      <c r="B475" t="s">
        <v>559</v>
      </c>
      <c r="C475" s="1">
        <v>45727</v>
      </c>
      <c r="D475" t="s">
        <v>41</v>
      </c>
      <c r="E475" s="6" t="s">
        <v>662</v>
      </c>
      <c r="F475" s="6" t="s">
        <v>42</v>
      </c>
      <c r="G475" s="6" t="s">
        <v>68</v>
      </c>
      <c r="H475" t="s">
        <v>27</v>
      </c>
      <c r="I475" s="6" t="s">
        <v>16</v>
      </c>
      <c r="J475" s="6" t="s">
        <v>32</v>
      </c>
      <c r="K475" s="6" t="s">
        <v>37</v>
      </c>
      <c r="L475" s="6" t="s">
        <v>38</v>
      </c>
      <c r="M475" s="12">
        <v>108</v>
      </c>
      <c r="N475" s="2">
        <v>84.350000000000009</v>
      </c>
      <c r="O475" s="4">
        <v>9.8800000000000013E-2</v>
      </c>
      <c r="P475" s="2">
        <v>9109.8000000000011</v>
      </c>
      <c r="Q475" s="2">
        <v>690.9</v>
      </c>
      <c r="R475" s="2">
        <v>4050.2</v>
      </c>
      <c r="S475" s="2">
        <v>601.65000000000009</v>
      </c>
      <c r="T475" s="2">
        <v>8209.751760000001</v>
      </c>
      <c r="U475" s="2">
        <v>2867.0017600000015</v>
      </c>
      <c r="V475" s="5">
        <v>0.34921905604609915</v>
      </c>
    </row>
    <row r="476" spans="1:22" x14ac:dyDescent="0.3">
      <c r="A476">
        <f t="shared" si="7"/>
        <v>475</v>
      </c>
      <c r="B476" t="s">
        <v>560</v>
      </c>
      <c r="C476" s="1">
        <v>45918</v>
      </c>
      <c r="D476" t="s">
        <v>14</v>
      </c>
      <c r="E476" s="6" t="s">
        <v>662</v>
      </c>
      <c r="F476" s="6" t="s">
        <v>66</v>
      </c>
      <c r="G476" s="6" t="s">
        <v>68</v>
      </c>
      <c r="H476" t="s">
        <v>15</v>
      </c>
      <c r="I476" s="6" t="s">
        <v>23</v>
      </c>
      <c r="J476" s="6" t="s">
        <v>32</v>
      </c>
      <c r="K476" s="6" t="s">
        <v>18</v>
      </c>
      <c r="L476" s="6" t="s">
        <v>25</v>
      </c>
      <c r="M476" s="12">
        <v>65</v>
      </c>
      <c r="N476" s="2">
        <v>94.85</v>
      </c>
      <c r="O476" s="4">
        <v>7.2900000000000006E-2</v>
      </c>
      <c r="P476" s="2">
        <v>6165.25</v>
      </c>
      <c r="Q476" s="2">
        <v>803.25</v>
      </c>
      <c r="R476" s="2">
        <v>2743.65</v>
      </c>
      <c r="S476" s="2">
        <v>573.65</v>
      </c>
      <c r="T476" s="2">
        <v>5715.8032750000002</v>
      </c>
      <c r="U476" s="2">
        <v>1595.2532750000005</v>
      </c>
      <c r="V476" s="5">
        <v>0.27909520293978285</v>
      </c>
    </row>
    <row r="477" spans="1:22" x14ac:dyDescent="0.3">
      <c r="A477">
        <f t="shared" si="7"/>
        <v>476</v>
      </c>
      <c r="B477" t="s">
        <v>561</v>
      </c>
      <c r="C477" s="1">
        <v>45825</v>
      </c>
      <c r="D477" t="s">
        <v>58</v>
      </c>
      <c r="E477" s="6" t="s">
        <v>664</v>
      </c>
      <c r="F477" s="6" t="s">
        <v>63</v>
      </c>
      <c r="G477" s="6" t="s">
        <v>39</v>
      </c>
      <c r="H477" t="s">
        <v>15</v>
      </c>
      <c r="I477" s="6" t="s">
        <v>23</v>
      </c>
      <c r="J477" s="6" t="s">
        <v>17</v>
      </c>
      <c r="K477" s="6" t="s">
        <v>37</v>
      </c>
      <c r="L477" s="6" t="s">
        <v>77</v>
      </c>
      <c r="M477" s="12">
        <v>102</v>
      </c>
      <c r="N477" s="2">
        <v>195.3</v>
      </c>
      <c r="O477" s="4">
        <v>0.10980000000000001</v>
      </c>
      <c r="P477" s="2">
        <v>19920.600000000002</v>
      </c>
      <c r="Q477" s="2">
        <v>2945.6</v>
      </c>
      <c r="R477" s="2">
        <v>10108.699999999999</v>
      </c>
      <c r="S477" s="2">
        <v>1627.85</v>
      </c>
      <c r="T477" s="2">
        <v>17733.318120000004</v>
      </c>
      <c r="U477" s="2">
        <v>3051.1681200000044</v>
      </c>
      <c r="V477" s="5">
        <v>0.17205850023966093</v>
      </c>
    </row>
    <row r="478" spans="1:22" x14ac:dyDescent="0.3">
      <c r="A478">
        <f t="shared" si="7"/>
        <v>477</v>
      </c>
      <c r="B478" t="s">
        <v>562</v>
      </c>
      <c r="C478" s="1">
        <v>45887</v>
      </c>
      <c r="D478" t="s">
        <v>35</v>
      </c>
      <c r="E478" s="6" t="s">
        <v>662</v>
      </c>
      <c r="F478" s="6" t="s">
        <v>42</v>
      </c>
      <c r="G478" s="6" t="s">
        <v>65</v>
      </c>
      <c r="H478" t="s">
        <v>27</v>
      </c>
      <c r="I478" s="6" t="s">
        <v>28</v>
      </c>
      <c r="J478" s="6" t="s">
        <v>32</v>
      </c>
      <c r="K478" s="6" t="s">
        <v>37</v>
      </c>
      <c r="L478" s="6" t="s">
        <v>60</v>
      </c>
      <c r="M478" s="12">
        <v>414</v>
      </c>
      <c r="N478" s="2">
        <v>167.65</v>
      </c>
      <c r="O478" s="4">
        <v>7.690000000000001E-2</v>
      </c>
      <c r="P478" s="2">
        <v>69407.100000000006</v>
      </c>
      <c r="Q478" s="2">
        <v>3385.2</v>
      </c>
      <c r="R478" s="2">
        <v>35131.25</v>
      </c>
      <c r="S478" s="2">
        <v>3433.85</v>
      </c>
      <c r="T478" s="2">
        <v>64069.694010000007</v>
      </c>
      <c r="U478" s="2">
        <v>22119.394010000007</v>
      </c>
      <c r="V478" s="5">
        <v>0.34523957624251506</v>
      </c>
    </row>
    <row r="479" spans="1:22" x14ac:dyDescent="0.3">
      <c r="A479">
        <f t="shared" si="7"/>
        <v>478</v>
      </c>
      <c r="B479" t="s">
        <v>563</v>
      </c>
      <c r="C479" s="1">
        <v>45828</v>
      </c>
      <c r="D479" t="s">
        <v>58</v>
      </c>
      <c r="E479" s="6" t="s">
        <v>662</v>
      </c>
      <c r="F479" s="6" t="s">
        <v>42</v>
      </c>
      <c r="G479" s="6" t="s">
        <v>68</v>
      </c>
      <c r="H479" t="s">
        <v>27</v>
      </c>
      <c r="I479" s="6" t="s">
        <v>28</v>
      </c>
      <c r="J479" s="6" t="s">
        <v>24</v>
      </c>
      <c r="K479" s="6" t="s">
        <v>18</v>
      </c>
      <c r="L479" s="6" t="s">
        <v>19</v>
      </c>
      <c r="M479" s="12">
        <v>527</v>
      </c>
      <c r="N479" s="2">
        <v>200.2</v>
      </c>
      <c r="O479" s="4">
        <v>0.16120000000000001</v>
      </c>
      <c r="P479" s="2">
        <v>105505.4</v>
      </c>
      <c r="Q479" s="2">
        <v>8344.6999999999989</v>
      </c>
      <c r="R479" s="2">
        <v>52300.15</v>
      </c>
      <c r="S479" s="2">
        <v>5444.25</v>
      </c>
      <c r="T479" s="2">
        <v>88497.929519999991</v>
      </c>
      <c r="U479" s="2">
        <v>22408.829519999992</v>
      </c>
      <c r="V479" s="5">
        <v>0.25321303720372051</v>
      </c>
    </row>
    <row r="480" spans="1:22" x14ac:dyDescent="0.3">
      <c r="A480">
        <f t="shared" si="7"/>
        <v>479</v>
      </c>
      <c r="B480" t="s">
        <v>564</v>
      </c>
      <c r="C480" s="1">
        <v>45805</v>
      </c>
      <c r="D480" t="s">
        <v>30</v>
      </c>
      <c r="E480" s="6" t="s">
        <v>663</v>
      </c>
      <c r="F480" s="6" t="s">
        <v>21</v>
      </c>
      <c r="G480" s="6" t="s">
        <v>68</v>
      </c>
      <c r="H480" t="s">
        <v>15</v>
      </c>
      <c r="I480" s="6" t="s">
        <v>16</v>
      </c>
      <c r="J480" s="6" t="s">
        <v>17</v>
      </c>
      <c r="K480" s="6" t="s">
        <v>48</v>
      </c>
      <c r="L480" s="6" t="s">
        <v>57</v>
      </c>
      <c r="M480" s="12">
        <v>191</v>
      </c>
      <c r="N480" s="2">
        <v>80.5</v>
      </c>
      <c r="O480" s="4">
        <v>0.1183</v>
      </c>
      <c r="P480" s="2">
        <v>15375.5</v>
      </c>
      <c r="Q480" s="2">
        <v>2009</v>
      </c>
      <c r="R480" s="2">
        <v>10112.200000000001</v>
      </c>
      <c r="S480" s="2">
        <v>1076.95</v>
      </c>
      <c r="T480" s="2">
        <v>13556.57835</v>
      </c>
      <c r="U480" s="2">
        <v>358.42834999999832</v>
      </c>
      <c r="V480" s="5">
        <v>2.6439440745754134E-2</v>
      </c>
    </row>
    <row r="481" spans="1:22" x14ac:dyDescent="0.3">
      <c r="A481">
        <f t="shared" si="7"/>
        <v>480</v>
      </c>
      <c r="B481" t="s">
        <v>565</v>
      </c>
      <c r="C481" s="1">
        <v>45998</v>
      </c>
      <c r="D481" t="s">
        <v>50</v>
      </c>
      <c r="E481" s="6" t="s">
        <v>662</v>
      </c>
      <c r="F481" s="6" t="s">
        <v>66</v>
      </c>
      <c r="G481" s="6" t="s">
        <v>43</v>
      </c>
      <c r="H481" t="s">
        <v>27</v>
      </c>
      <c r="I481" s="6" t="s">
        <v>16</v>
      </c>
      <c r="J481" s="6" t="s">
        <v>32</v>
      </c>
      <c r="K481" s="6" t="s">
        <v>18</v>
      </c>
      <c r="L481" s="6" t="s">
        <v>59</v>
      </c>
      <c r="M481" s="12">
        <v>121</v>
      </c>
      <c r="N481" s="2">
        <v>205.45000000000002</v>
      </c>
      <c r="O481" s="4">
        <v>0.1143</v>
      </c>
      <c r="P481" s="2">
        <v>24859.45</v>
      </c>
      <c r="Q481" s="2">
        <v>1790.95</v>
      </c>
      <c r="R481" s="2">
        <v>13290.9</v>
      </c>
      <c r="S481" s="2">
        <v>1638.7</v>
      </c>
      <c r="T481" s="2">
        <v>22018.014865000001</v>
      </c>
      <c r="U481" s="2">
        <v>5297.4648650000008</v>
      </c>
      <c r="V481" s="5">
        <v>0.24059684297065717</v>
      </c>
    </row>
    <row r="482" spans="1:22" x14ac:dyDescent="0.3">
      <c r="A482">
        <f t="shared" si="7"/>
        <v>481</v>
      </c>
      <c r="B482" t="s">
        <v>566</v>
      </c>
      <c r="C482" s="1">
        <v>45986</v>
      </c>
      <c r="D482" t="s">
        <v>67</v>
      </c>
      <c r="E482" s="6" t="s">
        <v>662</v>
      </c>
      <c r="F482" s="6" t="s">
        <v>66</v>
      </c>
      <c r="G482" s="6" t="s">
        <v>82</v>
      </c>
      <c r="H482" t="s">
        <v>27</v>
      </c>
      <c r="I482" s="6" t="s">
        <v>16</v>
      </c>
      <c r="J482" s="6" t="s">
        <v>32</v>
      </c>
      <c r="K482" s="6" t="s">
        <v>48</v>
      </c>
      <c r="L482" s="6" t="s">
        <v>57</v>
      </c>
      <c r="M482" s="12">
        <v>49</v>
      </c>
      <c r="N482" s="2">
        <v>85.399999999999991</v>
      </c>
      <c r="O482" s="4">
        <v>8.3000000000000004E-2</v>
      </c>
      <c r="P482" s="2">
        <v>4184.5999999999995</v>
      </c>
      <c r="Q482" s="2">
        <v>351.75</v>
      </c>
      <c r="R482" s="2">
        <v>2716.7000000000003</v>
      </c>
      <c r="S482" s="2">
        <v>329</v>
      </c>
      <c r="T482" s="2">
        <v>3837.2781999999997</v>
      </c>
      <c r="U482" s="2">
        <v>439.82819999999947</v>
      </c>
      <c r="V482" s="5">
        <v>0.11461983652892289</v>
      </c>
    </row>
    <row r="483" spans="1:22" x14ac:dyDescent="0.3">
      <c r="A483">
        <f t="shared" si="7"/>
        <v>482</v>
      </c>
      <c r="B483" t="s">
        <v>567</v>
      </c>
      <c r="C483" s="1">
        <v>45697</v>
      </c>
      <c r="D483" t="s">
        <v>55</v>
      </c>
      <c r="E483" s="6" t="s">
        <v>663</v>
      </c>
      <c r="F483" s="6" t="s">
        <v>21</v>
      </c>
      <c r="G483" s="6" t="s">
        <v>39</v>
      </c>
      <c r="H483" t="s">
        <v>27</v>
      </c>
      <c r="I483" s="6" t="s">
        <v>16</v>
      </c>
      <c r="J483" s="6" t="s">
        <v>17</v>
      </c>
      <c r="K483" s="6" t="s">
        <v>37</v>
      </c>
      <c r="L483" s="6" t="s">
        <v>72</v>
      </c>
      <c r="M483" s="12">
        <v>118</v>
      </c>
      <c r="N483" s="2">
        <v>60.55</v>
      </c>
      <c r="O483" s="4">
        <v>0.2072</v>
      </c>
      <c r="P483" s="2">
        <v>7144.9</v>
      </c>
      <c r="Q483" s="2">
        <v>744.44999999999993</v>
      </c>
      <c r="R483" s="2">
        <v>3037.65</v>
      </c>
      <c r="S483" s="2">
        <v>427.70000000000005</v>
      </c>
      <c r="T483" s="2">
        <v>5664.4767199999997</v>
      </c>
      <c r="U483" s="2">
        <v>1454.6767199999999</v>
      </c>
      <c r="V483" s="5">
        <v>0.25680690236820325</v>
      </c>
    </row>
    <row r="484" spans="1:22" x14ac:dyDescent="0.3">
      <c r="A484">
        <f t="shared" si="7"/>
        <v>483</v>
      </c>
      <c r="B484" t="s">
        <v>568</v>
      </c>
      <c r="C484" s="1">
        <v>45736</v>
      </c>
      <c r="D484" t="s">
        <v>41</v>
      </c>
      <c r="E484" s="6" t="s">
        <v>663</v>
      </c>
      <c r="F484" s="6" t="s">
        <v>21</v>
      </c>
      <c r="G484" s="6" t="s">
        <v>65</v>
      </c>
      <c r="H484" t="s">
        <v>15</v>
      </c>
      <c r="I484" s="6" t="s">
        <v>16</v>
      </c>
      <c r="J484" s="6" t="s">
        <v>45</v>
      </c>
      <c r="K484" s="6" t="s">
        <v>48</v>
      </c>
      <c r="L484" s="6" t="s">
        <v>74</v>
      </c>
      <c r="M484" s="12">
        <v>59</v>
      </c>
      <c r="N484" s="2">
        <v>148.4</v>
      </c>
      <c r="O484" s="4">
        <v>0.2069</v>
      </c>
      <c r="P484" s="2">
        <v>8755.6</v>
      </c>
      <c r="Q484" s="2">
        <v>1055.25</v>
      </c>
      <c r="R484" s="2">
        <v>4225.8999999999996</v>
      </c>
      <c r="S484" s="2">
        <v>566.29999999999995</v>
      </c>
      <c r="T484" s="2">
        <v>6944.0663600000007</v>
      </c>
      <c r="U484" s="2">
        <v>1096.6163600000009</v>
      </c>
      <c r="V484" s="5">
        <v>0.1579213537354503</v>
      </c>
    </row>
    <row r="485" spans="1:22" x14ac:dyDescent="0.3">
      <c r="A485">
        <f t="shared" si="7"/>
        <v>484</v>
      </c>
      <c r="B485" t="s">
        <v>569</v>
      </c>
      <c r="C485" s="1">
        <v>45868</v>
      </c>
      <c r="D485" t="s">
        <v>26</v>
      </c>
      <c r="E485" s="6" t="s">
        <v>663</v>
      </c>
      <c r="F485" s="6" t="s">
        <v>21</v>
      </c>
      <c r="G485" s="6" t="s">
        <v>69</v>
      </c>
      <c r="H485" t="s">
        <v>15</v>
      </c>
      <c r="I485" s="6" t="s">
        <v>23</v>
      </c>
      <c r="J485" s="6" t="s">
        <v>32</v>
      </c>
      <c r="K485" s="6" t="s">
        <v>37</v>
      </c>
      <c r="L485" s="6" t="s">
        <v>90</v>
      </c>
      <c r="M485" s="12">
        <v>86</v>
      </c>
      <c r="N485" s="2">
        <v>149.1</v>
      </c>
      <c r="O485" s="4">
        <v>8.6800000000000002E-2</v>
      </c>
      <c r="P485" s="2">
        <v>12822.6</v>
      </c>
      <c r="Q485" s="2">
        <v>1313.8999999999999</v>
      </c>
      <c r="R485" s="2">
        <v>6747.3</v>
      </c>
      <c r="S485" s="2">
        <v>1228.8499999999999</v>
      </c>
      <c r="T485" s="2">
        <v>11709.598320000001</v>
      </c>
      <c r="U485" s="2">
        <v>2419.5483200000008</v>
      </c>
      <c r="V485" s="5">
        <v>0.20662948923426441</v>
      </c>
    </row>
    <row r="486" spans="1:22" x14ac:dyDescent="0.3">
      <c r="A486">
        <f t="shared" si="7"/>
        <v>485</v>
      </c>
      <c r="B486" t="s">
        <v>570</v>
      </c>
      <c r="C486" s="1">
        <v>45799</v>
      </c>
      <c r="D486" t="s">
        <v>30</v>
      </c>
      <c r="E486" s="6" t="s">
        <v>663</v>
      </c>
      <c r="F486" s="6" t="s">
        <v>21</v>
      </c>
      <c r="G486" s="6" t="s">
        <v>22</v>
      </c>
      <c r="H486" t="s">
        <v>27</v>
      </c>
      <c r="I486" s="6" t="s">
        <v>31</v>
      </c>
      <c r="J486" s="6" t="s">
        <v>17</v>
      </c>
      <c r="K486" s="6" t="s">
        <v>18</v>
      </c>
      <c r="L486" s="6" t="s">
        <v>19</v>
      </c>
      <c r="M486" s="12">
        <v>229</v>
      </c>
      <c r="N486" s="2">
        <v>192.15</v>
      </c>
      <c r="O486" s="4">
        <v>0.21160000000000001</v>
      </c>
      <c r="P486" s="2">
        <v>44002.35</v>
      </c>
      <c r="Q486" s="2">
        <v>3060.05</v>
      </c>
      <c r="R486" s="2">
        <v>21179.899999999998</v>
      </c>
      <c r="S486" s="2">
        <v>1429.4</v>
      </c>
      <c r="T486" s="2">
        <v>34691.452740000001</v>
      </c>
      <c r="U486" s="2">
        <v>9022.1027400000021</v>
      </c>
      <c r="V486" s="5">
        <v>0.2600670201855606</v>
      </c>
    </row>
    <row r="487" spans="1:22" x14ac:dyDescent="0.3">
      <c r="A487">
        <f t="shared" si="7"/>
        <v>486</v>
      </c>
      <c r="B487" t="s">
        <v>571</v>
      </c>
      <c r="C487" s="1">
        <v>45955</v>
      </c>
      <c r="D487" t="s">
        <v>20</v>
      </c>
      <c r="E487" s="6" t="s">
        <v>662</v>
      </c>
      <c r="F487" s="6" t="s">
        <v>42</v>
      </c>
      <c r="G487" s="6" t="s">
        <v>68</v>
      </c>
      <c r="H487" t="s">
        <v>27</v>
      </c>
      <c r="I487" s="6" t="s">
        <v>28</v>
      </c>
      <c r="J487" s="6" t="s">
        <v>84</v>
      </c>
      <c r="K487" s="6" t="s">
        <v>37</v>
      </c>
      <c r="L487" s="6" t="s">
        <v>60</v>
      </c>
      <c r="M487" s="12">
        <v>280</v>
      </c>
      <c r="N487" s="2">
        <v>162.75</v>
      </c>
      <c r="O487" s="4">
        <v>0.2361</v>
      </c>
      <c r="P487" s="2">
        <v>45570</v>
      </c>
      <c r="Q487" s="2">
        <v>4888.0999999999995</v>
      </c>
      <c r="R487" s="2">
        <v>19139.75</v>
      </c>
      <c r="S487" s="2">
        <v>1880.55</v>
      </c>
      <c r="T487" s="2">
        <v>34810.923000000003</v>
      </c>
      <c r="U487" s="2">
        <v>8902.523000000001</v>
      </c>
      <c r="V487" s="5">
        <v>0.25573935514436086</v>
      </c>
    </row>
    <row r="488" spans="1:22" x14ac:dyDescent="0.3">
      <c r="A488">
        <f t="shared" si="7"/>
        <v>487</v>
      </c>
      <c r="B488" t="s">
        <v>572</v>
      </c>
      <c r="C488" s="1">
        <v>45885</v>
      </c>
      <c r="D488" t="s">
        <v>35</v>
      </c>
      <c r="E488" s="6" t="s">
        <v>662</v>
      </c>
      <c r="F488" s="6" t="s">
        <v>66</v>
      </c>
      <c r="G488" s="6" t="s">
        <v>69</v>
      </c>
      <c r="H488" t="s">
        <v>15</v>
      </c>
      <c r="I488" s="6" t="s">
        <v>16</v>
      </c>
      <c r="J488" s="6" t="s">
        <v>32</v>
      </c>
      <c r="K488" s="6" t="s">
        <v>37</v>
      </c>
      <c r="L488" s="6" t="s">
        <v>38</v>
      </c>
      <c r="M488" s="12">
        <v>201</v>
      </c>
      <c r="N488" s="2">
        <v>89.600000000000009</v>
      </c>
      <c r="O488" s="4">
        <v>3.4799999999999998E-2</v>
      </c>
      <c r="P488" s="2">
        <v>18009.600000000002</v>
      </c>
      <c r="Q488" s="2">
        <v>4496.45</v>
      </c>
      <c r="R488" s="2">
        <v>8343.65</v>
      </c>
      <c r="S488" s="2">
        <v>1362.8999999999999</v>
      </c>
      <c r="T488" s="2">
        <v>17382.865920000004</v>
      </c>
      <c r="U488" s="2">
        <v>3179.8659200000047</v>
      </c>
      <c r="V488" s="5">
        <v>0.18293105030174472</v>
      </c>
    </row>
    <row r="489" spans="1:22" x14ac:dyDescent="0.3">
      <c r="A489">
        <f t="shared" si="7"/>
        <v>488</v>
      </c>
      <c r="B489" t="s">
        <v>573</v>
      </c>
      <c r="C489" s="1">
        <v>45830</v>
      </c>
      <c r="D489" t="s">
        <v>58</v>
      </c>
      <c r="E489" s="6" t="s">
        <v>662</v>
      </c>
      <c r="F489" s="6" t="s">
        <v>66</v>
      </c>
      <c r="G489" s="6" t="s">
        <v>64</v>
      </c>
      <c r="H489" t="s">
        <v>27</v>
      </c>
      <c r="I489" s="6" t="s">
        <v>16</v>
      </c>
      <c r="J489" s="6" t="s">
        <v>32</v>
      </c>
      <c r="K489" s="6" t="s">
        <v>46</v>
      </c>
      <c r="L489" s="6" t="s">
        <v>47</v>
      </c>
      <c r="M489" s="12">
        <v>98</v>
      </c>
      <c r="N489" s="2">
        <v>176.05</v>
      </c>
      <c r="O489" s="4">
        <v>0.13519999999999999</v>
      </c>
      <c r="P489" s="2">
        <v>17252.900000000001</v>
      </c>
      <c r="Q489" s="2">
        <v>1524.6000000000001</v>
      </c>
      <c r="R489" s="2">
        <v>8726.1999999999989</v>
      </c>
      <c r="S489" s="2">
        <v>1167.9499999999998</v>
      </c>
      <c r="T489" s="2">
        <v>14920.307920000001</v>
      </c>
      <c r="U489" s="2">
        <v>3501.5579200000029</v>
      </c>
      <c r="V489" s="5">
        <v>0.23468402520743706</v>
      </c>
    </row>
    <row r="490" spans="1:22" x14ac:dyDescent="0.3">
      <c r="A490">
        <f t="shared" si="7"/>
        <v>489</v>
      </c>
      <c r="B490" t="s">
        <v>574</v>
      </c>
      <c r="C490" s="1">
        <v>46015</v>
      </c>
      <c r="D490" t="s">
        <v>50</v>
      </c>
      <c r="E490" s="6" t="s">
        <v>663</v>
      </c>
      <c r="F490" s="6" t="s">
        <v>21</v>
      </c>
      <c r="G490" s="6" t="s">
        <v>69</v>
      </c>
      <c r="H490" t="s">
        <v>15</v>
      </c>
      <c r="I490" s="6" t="s">
        <v>23</v>
      </c>
      <c r="J490" s="6" t="s">
        <v>32</v>
      </c>
      <c r="K490" s="6" t="s">
        <v>46</v>
      </c>
      <c r="L490" s="6" t="s">
        <v>89</v>
      </c>
      <c r="M490" s="12">
        <v>66</v>
      </c>
      <c r="N490" s="2">
        <v>93.800000000000011</v>
      </c>
      <c r="O490" s="4">
        <v>1.7600000000000001E-2</v>
      </c>
      <c r="P490" s="2">
        <v>6190.8000000000011</v>
      </c>
      <c r="Q490" s="2">
        <v>861.35</v>
      </c>
      <c r="R490" s="2">
        <v>3315.8999999999996</v>
      </c>
      <c r="S490" s="2">
        <v>753.9</v>
      </c>
      <c r="T490" s="2">
        <v>6081.8419200000017</v>
      </c>
      <c r="U490" s="2">
        <v>1150.6919200000025</v>
      </c>
      <c r="V490" s="5">
        <v>0.18920122146154075</v>
      </c>
    </row>
    <row r="491" spans="1:22" x14ac:dyDescent="0.3">
      <c r="A491">
        <f t="shared" si="7"/>
        <v>490</v>
      </c>
      <c r="B491" t="s">
        <v>575</v>
      </c>
      <c r="C491" s="1">
        <v>45964</v>
      </c>
      <c r="D491" t="s">
        <v>67</v>
      </c>
      <c r="E491" s="6" t="s">
        <v>662</v>
      </c>
      <c r="F491" s="6" t="s">
        <v>66</v>
      </c>
      <c r="G491" s="6" t="s">
        <v>65</v>
      </c>
      <c r="H491" t="s">
        <v>27</v>
      </c>
      <c r="I491" s="6" t="s">
        <v>31</v>
      </c>
      <c r="J491" s="6" t="s">
        <v>32</v>
      </c>
      <c r="K491" s="6" t="s">
        <v>33</v>
      </c>
      <c r="L491" s="6" t="s">
        <v>70</v>
      </c>
      <c r="M491" s="12">
        <v>223</v>
      </c>
      <c r="N491" s="2">
        <v>106.75</v>
      </c>
      <c r="O491" s="4">
        <v>0.14499999999999999</v>
      </c>
      <c r="P491" s="2">
        <v>23805.25</v>
      </c>
      <c r="Q491" s="2">
        <v>1031.1000000000001</v>
      </c>
      <c r="R491" s="2">
        <v>11464.25</v>
      </c>
      <c r="S491" s="2">
        <v>1017.45</v>
      </c>
      <c r="T491" s="2">
        <v>20353.48875</v>
      </c>
      <c r="U491" s="2">
        <v>6840.6887499999993</v>
      </c>
      <c r="V491" s="5">
        <v>0.33609416223545457</v>
      </c>
    </row>
    <row r="492" spans="1:22" x14ac:dyDescent="0.3">
      <c r="A492">
        <f t="shared" si="7"/>
        <v>491</v>
      </c>
      <c r="B492" t="s">
        <v>576</v>
      </c>
      <c r="C492" s="1">
        <v>46005</v>
      </c>
      <c r="D492" t="s">
        <v>50</v>
      </c>
      <c r="E492" s="6" t="s">
        <v>662</v>
      </c>
      <c r="F492" s="6" t="s">
        <v>66</v>
      </c>
      <c r="G492" s="6" t="s">
        <v>65</v>
      </c>
      <c r="H492" t="s">
        <v>27</v>
      </c>
      <c r="I492" s="6" t="s">
        <v>16</v>
      </c>
      <c r="J492" s="6" t="s">
        <v>17</v>
      </c>
      <c r="K492" s="6" t="s">
        <v>37</v>
      </c>
      <c r="L492" s="6" t="s">
        <v>90</v>
      </c>
      <c r="M492" s="12">
        <v>235</v>
      </c>
      <c r="N492" s="2">
        <v>135.79999999999998</v>
      </c>
      <c r="O492" s="4">
        <v>0.14910000000000001</v>
      </c>
      <c r="P492" s="2">
        <v>31912.999999999996</v>
      </c>
      <c r="Q492" s="2">
        <v>3110.7999999999997</v>
      </c>
      <c r="R492" s="2">
        <v>13817.650000000001</v>
      </c>
      <c r="S492" s="2">
        <v>1999.5500000000002</v>
      </c>
      <c r="T492" s="2">
        <v>27154.771699999998</v>
      </c>
      <c r="U492" s="2">
        <v>8226.7716999999975</v>
      </c>
      <c r="V492" s="5">
        <v>0.30295860303623906</v>
      </c>
    </row>
    <row r="493" spans="1:22" x14ac:dyDescent="0.3">
      <c r="A493">
        <f t="shared" si="7"/>
        <v>492</v>
      </c>
      <c r="B493" t="s">
        <v>577</v>
      </c>
      <c r="C493" s="1">
        <v>45744</v>
      </c>
      <c r="D493" t="s">
        <v>41</v>
      </c>
      <c r="E493" s="6" t="s">
        <v>664</v>
      </c>
      <c r="F493" s="6" t="s">
        <v>63</v>
      </c>
      <c r="G493" s="6" t="s">
        <v>22</v>
      </c>
      <c r="H493" t="s">
        <v>15</v>
      </c>
      <c r="I493" s="6" t="s">
        <v>23</v>
      </c>
      <c r="J493" s="6" t="s">
        <v>32</v>
      </c>
      <c r="K493" s="6" t="s">
        <v>33</v>
      </c>
      <c r="L493" s="6" t="s">
        <v>53</v>
      </c>
      <c r="M493" s="12">
        <v>9</v>
      </c>
      <c r="N493" s="2">
        <v>68.95</v>
      </c>
      <c r="O493" s="4">
        <v>3.1300000000000001E-2</v>
      </c>
      <c r="P493" s="2">
        <v>620.55000000000007</v>
      </c>
      <c r="Q493" s="2">
        <v>99.75</v>
      </c>
      <c r="R493" s="2">
        <v>349.3</v>
      </c>
      <c r="S493" s="2">
        <v>58.449999999999996</v>
      </c>
      <c r="T493" s="2">
        <v>601.12678500000004</v>
      </c>
      <c r="U493" s="2">
        <v>93.626784999999984</v>
      </c>
      <c r="V493" s="5">
        <v>0.15575214303584889</v>
      </c>
    </row>
    <row r="494" spans="1:22" x14ac:dyDescent="0.3">
      <c r="A494">
        <f t="shared" si="7"/>
        <v>493</v>
      </c>
      <c r="B494" t="s">
        <v>578</v>
      </c>
      <c r="C494" s="1">
        <v>45723</v>
      </c>
      <c r="D494" t="s">
        <v>41</v>
      </c>
      <c r="E494" s="6" t="s">
        <v>663</v>
      </c>
      <c r="F494" s="6" t="s">
        <v>21</v>
      </c>
      <c r="G494" s="6" t="s">
        <v>69</v>
      </c>
      <c r="H494" t="s">
        <v>27</v>
      </c>
      <c r="I494" s="6" t="s">
        <v>16</v>
      </c>
      <c r="J494" s="6" t="s">
        <v>52</v>
      </c>
      <c r="K494" s="6" t="s">
        <v>46</v>
      </c>
      <c r="L494" s="6" t="s">
        <v>89</v>
      </c>
      <c r="M494" s="12">
        <v>68</v>
      </c>
      <c r="N494" s="2">
        <v>82.95</v>
      </c>
      <c r="O494" s="4">
        <v>0.1991</v>
      </c>
      <c r="P494" s="2">
        <v>5640.6</v>
      </c>
      <c r="Q494" s="2">
        <v>735.69999999999993</v>
      </c>
      <c r="R494" s="2">
        <v>2491.3000000000002</v>
      </c>
      <c r="S494" s="2">
        <v>384.65000000000003</v>
      </c>
      <c r="T494" s="2">
        <v>4517.5565399999996</v>
      </c>
      <c r="U494" s="2">
        <v>905.90653999999984</v>
      </c>
      <c r="V494" s="5">
        <v>0.20053020520690593</v>
      </c>
    </row>
    <row r="495" spans="1:22" x14ac:dyDescent="0.3">
      <c r="A495">
        <f t="shared" si="7"/>
        <v>494</v>
      </c>
      <c r="B495" t="s">
        <v>579</v>
      </c>
      <c r="C495" s="1">
        <v>45757</v>
      </c>
      <c r="D495" t="s">
        <v>61</v>
      </c>
      <c r="E495" s="6" t="s">
        <v>662</v>
      </c>
      <c r="F495" s="6" t="s">
        <v>66</v>
      </c>
      <c r="G495" s="6" t="s">
        <v>43</v>
      </c>
      <c r="H495" t="s">
        <v>15</v>
      </c>
      <c r="I495" s="6" t="s">
        <v>16</v>
      </c>
      <c r="J495" s="6" t="s">
        <v>32</v>
      </c>
      <c r="K495" s="6" t="s">
        <v>48</v>
      </c>
      <c r="L495" s="6" t="s">
        <v>62</v>
      </c>
      <c r="M495" s="12">
        <v>48</v>
      </c>
      <c r="N495" s="2">
        <v>270.55</v>
      </c>
      <c r="O495" s="4">
        <v>3.9199999999999999E-2</v>
      </c>
      <c r="P495" s="2">
        <v>12986.400000000001</v>
      </c>
      <c r="Q495" s="2">
        <v>1444.8</v>
      </c>
      <c r="R495" s="2">
        <v>8534.75</v>
      </c>
      <c r="S495" s="2">
        <v>1057.3500000000001</v>
      </c>
      <c r="T495" s="2">
        <v>12477.333120000001</v>
      </c>
      <c r="U495" s="2">
        <v>1440.4331200000008</v>
      </c>
      <c r="V495" s="5">
        <v>0.11544399000545404</v>
      </c>
    </row>
    <row r="496" spans="1:22" x14ac:dyDescent="0.3">
      <c r="A496">
        <f t="shared" si="7"/>
        <v>495</v>
      </c>
      <c r="B496" t="s">
        <v>580</v>
      </c>
      <c r="C496" s="1">
        <v>45711</v>
      </c>
      <c r="D496" t="s">
        <v>55</v>
      </c>
      <c r="E496" s="6" t="s">
        <v>662</v>
      </c>
      <c r="F496" s="6" t="s">
        <v>42</v>
      </c>
      <c r="G496" s="6" t="s">
        <v>43</v>
      </c>
      <c r="H496" t="s">
        <v>27</v>
      </c>
      <c r="I496" s="6" t="s">
        <v>16</v>
      </c>
      <c r="J496" s="6" t="s">
        <v>32</v>
      </c>
      <c r="K496" s="6" t="s">
        <v>46</v>
      </c>
      <c r="L496" s="6" t="s">
        <v>81</v>
      </c>
      <c r="M496" s="12">
        <v>239</v>
      </c>
      <c r="N496" s="2">
        <v>157.85</v>
      </c>
      <c r="O496" s="4">
        <v>6.6699999999999995E-2</v>
      </c>
      <c r="P496" s="2">
        <v>37726.15</v>
      </c>
      <c r="Q496" s="2">
        <v>3157.35</v>
      </c>
      <c r="R496" s="2">
        <v>18126.149999999998</v>
      </c>
      <c r="S496" s="2">
        <v>3198.65</v>
      </c>
      <c r="T496" s="2">
        <v>35209.815795000002</v>
      </c>
      <c r="U496" s="2">
        <v>10727.665795000003</v>
      </c>
      <c r="V496" s="5">
        <v>0.30467827089636162</v>
      </c>
    </row>
    <row r="497" spans="1:22" x14ac:dyDescent="0.3">
      <c r="A497">
        <f t="shared" si="7"/>
        <v>496</v>
      </c>
      <c r="B497" t="s">
        <v>581</v>
      </c>
      <c r="C497" s="1">
        <v>45726</v>
      </c>
      <c r="D497" t="s">
        <v>41</v>
      </c>
      <c r="E497" s="6" t="s">
        <v>662</v>
      </c>
      <c r="F497" s="6" t="s">
        <v>42</v>
      </c>
      <c r="G497" s="6" t="s">
        <v>68</v>
      </c>
      <c r="H497" t="s">
        <v>15</v>
      </c>
      <c r="I497" s="6" t="s">
        <v>23</v>
      </c>
      <c r="J497" s="6" t="s">
        <v>24</v>
      </c>
      <c r="K497" s="6" t="s">
        <v>37</v>
      </c>
      <c r="L497" s="6" t="s">
        <v>38</v>
      </c>
      <c r="M497" s="12">
        <v>105</v>
      </c>
      <c r="N497" s="2">
        <v>87.5</v>
      </c>
      <c r="O497" s="4">
        <v>5.9299999999999999E-2</v>
      </c>
      <c r="P497" s="2">
        <v>9187.5</v>
      </c>
      <c r="Q497" s="2">
        <v>1433.95</v>
      </c>
      <c r="R497" s="2">
        <v>4379.55</v>
      </c>
      <c r="S497" s="2">
        <v>925.75</v>
      </c>
      <c r="T497" s="2">
        <v>8642.6812499999996</v>
      </c>
      <c r="U497" s="2">
        <v>1903.4312499999994</v>
      </c>
      <c r="V497" s="5">
        <v>0.22023619695566113</v>
      </c>
    </row>
    <row r="498" spans="1:22" x14ac:dyDescent="0.3">
      <c r="A498">
        <f t="shared" si="7"/>
        <v>497</v>
      </c>
      <c r="B498" t="s">
        <v>582</v>
      </c>
      <c r="C498" s="1">
        <v>45991</v>
      </c>
      <c r="D498" t="s">
        <v>67</v>
      </c>
      <c r="E498" s="6" t="s">
        <v>664</v>
      </c>
      <c r="F498" s="6" t="s">
        <v>63</v>
      </c>
      <c r="G498" s="6" t="s">
        <v>69</v>
      </c>
      <c r="H498" t="s">
        <v>27</v>
      </c>
      <c r="I498" s="6" t="s">
        <v>31</v>
      </c>
      <c r="J498" s="6" t="s">
        <v>32</v>
      </c>
      <c r="K498" s="6" t="s">
        <v>48</v>
      </c>
      <c r="L498" s="6" t="s">
        <v>54</v>
      </c>
      <c r="M498" s="12">
        <v>655</v>
      </c>
      <c r="N498" s="2">
        <v>74.900000000000006</v>
      </c>
      <c r="O498" s="4">
        <v>0.1142</v>
      </c>
      <c r="P498" s="2">
        <v>49059.500000000007</v>
      </c>
      <c r="Q498" s="2">
        <v>1953.7</v>
      </c>
      <c r="R498" s="2">
        <v>28659.75</v>
      </c>
      <c r="S498" s="2">
        <v>2700.25</v>
      </c>
      <c r="T498" s="2">
        <v>43456.905100000011</v>
      </c>
      <c r="U498" s="2">
        <v>10143.20510000001</v>
      </c>
      <c r="V498" s="5">
        <v>0.23340836345016219</v>
      </c>
    </row>
    <row r="499" spans="1:22" x14ac:dyDescent="0.3">
      <c r="A499">
        <f t="shared" si="7"/>
        <v>498</v>
      </c>
      <c r="B499" t="s">
        <v>583</v>
      </c>
      <c r="C499" s="1">
        <v>45893</v>
      </c>
      <c r="D499" t="s">
        <v>35</v>
      </c>
      <c r="E499" s="6" t="s">
        <v>664</v>
      </c>
      <c r="F499" s="6" t="s">
        <v>63</v>
      </c>
      <c r="G499" s="6" t="s">
        <v>68</v>
      </c>
      <c r="H499" t="s">
        <v>15</v>
      </c>
      <c r="I499" s="6" t="s">
        <v>23</v>
      </c>
      <c r="J499" s="6" t="s">
        <v>36</v>
      </c>
      <c r="K499" s="6" t="s">
        <v>33</v>
      </c>
      <c r="L499" s="6" t="s">
        <v>70</v>
      </c>
      <c r="M499" s="12">
        <v>29</v>
      </c>
      <c r="N499" s="2">
        <v>112</v>
      </c>
      <c r="O499" s="4">
        <v>8.0100000000000005E-2</v>
      </c>
      <c r="P499" s="2">
        <v>3248</v>
      </c>
      <c r="Q499" s="2">
        <v>361.55</v>
      </c>
      <c r="R499" s="2">
        <v>1577.8</v>
      </c>
      <c r="S499" s="2">
        <v>325.14999999999998</v>
      </c>
      <c r="T499" s="2">
        <v>2987.8352</v>
      </c>
      <c r="U499" s="2">
        <v>723.33519999999999</v>
      </c>
      <c r="V499" s="5">
        <v>0.24209340595492013</v>
      </c>
    </row>
    <row r="500" spans="1:22" x14ac:dyDescent="0.3">
      <c r="A500">
        <f t="shared" si="7"/>
        <v>499</v>
      </c>
      <c r="B500" t="s">
        <v>584</v>
      </c>
      <c r="C500" s="1">
        <v>45675</v>
      </c>
      <c r="D500" t="s">
        <v>44</v>
      </c>
      <c r="E500" s="6" t="s">
        <v>664</v>
      </c>
      <c r="F500" s="6" t="s">
        <v>63</v>
      </c>
      <c r="G500" s="6" t="s">
        <v>82</v>
      </c>
      <c r="H500" t="s">
        <v>15</v>
      </c>
      <c r="I500" s="6" t="s">
        <v>16</v>
      </c>
      <c r="J500" s="6" t="s">
        <v>45</v>
      </c>
      <c r="K500" s="6" t="s">
        <v>48</v>
      </c>
      <c r="L500" s="6" t="s">
        <v>49</v>
      </c>
      <c r="M500" s="12">
        <v>48</v>
      </c>
      <c r="N500" s="2">
        <v>125.3</v>
      </c>
      <c r="O500" s="4">
        <v>9.6500000000000002E-2</v>
      </c>
      <c r="P500" s="2">
        <v>6014.4</v>
      </c>
      <c r="Q500" s="2">
        <v>928.9</v>
      </c>
      <c r="R500" s="2">
        <v>3472.35</v>
      </c>
      <c r="S500" s="2">
        <v>473.54999999999995</v>
      </c>
      <c r="T500" s="2">
        <v>5434.0103999999992</v>
      </c>
      <c r="U500" s="2">
        <v>559.21039999999914</v>
      </c>
      <c r="V500" s="5">
        <v>0.10290933561702408</v>
      </c>
    </row>
    <row r="501" spans="1:22" x14ac:dyDescent="0.3">
      <c r="A501">
        <f t="shared" si="7"/>
        <v>500</v>
      </c>
      <c r="B501" t="s">
        <v>585</v>
      </c>
      <c r="C501" s="1">
        <v>45937</v>
      </c>
      <c r="D501" t="s">
        <v>20</v>
      </c>
      <c r="E501" s="6" t="s">
        <v>663</v>
      </c>
      <c r="F501" s="6" t="s">
        <v>21</v>
      </c>
      <c r="G501" s="6" t="s">
        <v>22</v>
      </c>
      <c r="H501" t="s">
        <v>15</v>
      </c>
      <c r="I501" s="6" t="s">
        <v>23</v>
      </c>
      <c r="J501" s="6" t="s">
        <v>32</v>
      </c>
      <c r="K501" s="6" t="s">
        <v>37</v>
      </c>
      <c r="L501" s="6" t="s">
        <v>90</v>
      </c>
      <c r="M501" s="12">
        <v>92</v>
      </c>
      <c r="N501" s="2">
        <v>154.69999999999999</v>
      </c>
      <c r="O501" s="4">
        <v>4.1700000000000001E-2</v>
      </c>
      <c r="P501" s="2">
        <v>14232.4</v>
      </c>
      <c r="Q501" s="2">
        <v>1960.7</v>
      </c>
      <c r="R501" s="2">
        <v>6922.65</v>
      </c>
      <c r="S501" s="2">
        <v>1414</v>
      </c>
      <c r="T501" s="2">
        <v>13638.90892</v>
      </c>
      <c r="U501" s="2">
        <v>3341.5589200000004</v>
      </c>
      <c r="V501" s="5">
        <v>0.2450019235116353</v>
      </c>
    </row>
    <row r="502" spans="1:22" x14ac:dyDescent="0.3">
      <c r="A502">
        <f t="shared" si="7"/>
        <v>501</v>
      </c>
      <c r="B502" t="s">
        <v>586</v>
      </c>
      <c r="C502" s="1">
        <v>45750</v>
      </c>
      <c r="D502" t="s">
        <v>61</v>
      </c>
      <c r="E502" s="6" t="s">
        <v>662</v>
      </c>
      <c r="F502" s="6" t="s">
        <v>42</v>
      </c>
      <c r="G502" s="6" t="s">
        <v>39</v>
      </c>
      <c r="H502" t="s">
        <v>15</v>
      </c>
      <c r="I502" s="6" t="s">
        <v>23</v>
      </c>
      <c r="J502" s="6" t="s">
        <v>17</v>
      </c>
      <c r="K502" s="6" t="s">
        <v>48</v>
      </c>
      <c r="L502" s="6" t="s">
        <v>54</v>
      </c>
      <c r="M502" s="12">
        <v>45</v>
      </c>
      <c r="N502" s="2">
        <v>91.7</v>
      </c>
      <c r="O502" s="4">
        <v>3.5499999999999997E-2</v>
      </c>
      <c r="P502" s="2">
        <v>4126.5</v>
      </c>
      <c r="Q502" s="2">
        <v>697.2</v>
      </c>
      <c r="R502" s="2">
        <v>2944.9</v>
      </c>
      <c r="S502" s="2">
        <v>388.15</v>
      </c>
      <c r="T502" s="2">
        <v>3980.0092500000001</v>
      </c>
      <c r="U502" s="2">
        <v>-50.240750000000162</v>
      </c>
      <c r="V502" s="5">
        <v>-1.2623274682087777E-2</v>
      </c>
    </row>
    <row r="503" spans="1:22" x14ac:dyDescent="0.3">
      <c r="A503">
        <f t="shared" si="7"/>
        <v>502</v>
      </c>
      <c r="B503" t="s">
        <v>587</v>
      </c>
      <c r="C503" s="1">
        <v>45823</v>
      </c>
      <c r="D503" t="s">
        <v>58</v>
      </c>
      <c r="E503" s="6" t="s">
        <v>662</v>
      </c>
      <c r="F503" s="6" t="s">
        <v>42</v>
      </c>
      <c r="G503" s="6" t="s">
        <v>39</v>
      </c>
      <c r="H503" t="s">
        <v>27</v>
      </c>
      <c r="I503" s="6" t="s">
        <v>16</v>
      </c>
      <c r="J503" s="6" t="s">
        <v>84</v>
      </c>
      <c r="K503" s="6" t="s">
        <v>48</v>
      </c>
      <c r="L503" s="6" t="s">
        <v>56</v>
      </c>
      <c r="M503" s="12">
        <v>206</v>
      </c>
      <c r="N503" s="2">
        <v>116.55</v>
      </c>
      <c r="O503" s="4">
        <v>0.14099999999999999</v>
      </c>
      <c r="P503" s="2">
        <v>24009.3</v>
      </c>
      <c r="Q503" s="2">
        <v>4171.6499999999996</v>
      </c>
      <c r="R503" s="2">
        <v>11984</v>
      </c>
      <c r="S503" s="2">
        <v>1624</v>
      </c>
      <c r="T503" s="2">
        <v>20623.988699999998</v>
      </c>
      <c r="U503" s="2">
        <v>2844.3386999999984</v>
      </c>
      <c r="V503" s="5">
        <v>0.13791409321321044</v>
      </c>
    </row>
    <row r="504" spans="1:22" x14ac:dyDescent="0.3">
      <c r="A504">
        <f t="shared" si="7"/>
        <v>503</v>
      </c>
      <c r="B504" t="s">
        <v>588</v>
      </c>
      <c r="C504" s="1">
        <v>45917</v>
      </c>
      <c r="D504" t="s">
        <v>14</v>
      </c>
      <c r="E504" s="6" t="s">
        <v>662</v>
      </c>
      <c r="F504" s="6" t="s">
        <v>66</v>
      </c>
      <c r="G504" s="6" t="s">
        <v>69</v>
      </c>
      <c r="H504" t="s">
        <v>27</v>
      </c>
      <c r="I504" s="6" t="s">
        <v>16</v>
      </c>
      <c r="J504" s="6" t="s">
        <v>32</v>
      </c>
      <c r="K504" s="6" t="s">
        <v>33</v>
      </c>
      <c r="L504" s="6" t="s">
        <v>70</v>
      </c>
      <c r="M504" s="12">
        <v>124</v>
      </c>
      <c r="N504" s="2">
        <v>106.75</v>
      </c>
      <c r="O504" s="4">
        <v>0.1137</v>
      </c>
      <c r="P504" s="2">
        <v>13237</v>
      </c>
      <c r="Q504" s="2">
        <v>1321.95</v>
      </c>
      <c r="R504" s="2">
        <v>6188</v>
      </c>
      <c r="S504" s="2">
        <v>740.25</v>
      </c>
      <c r="T504" s="2">
        <v>11731.953099999999</v>
      </c>
      <c r="U504" s="2">
        <v>3481.753099999999</v>
      </c>
      <c r="V504" s="5">
        <v>0.29677523173869486</v>
      </c>
    </row>
    <row r="505" spans="1:22" x14ac:dyDescent="0.3">
      <c r="A505">
        <f t="shared" si="7"/>
        <v>504</v>
      </c>
      <c r="B505" t="s">
        <v>589</v>
      </c>
      <c r="C505" s="1">
        <v>45706</v>
      </c>
      <c r="D505" t="s">
        <v>55</v>
      </c>
      <c r="E505" s="6" t="s">
        <v>664</v>
      </c>
      <c r="F505" s="6" t="s">
        <v>63</v>
      </c>
      <c r="G505" s="6" t="s">
        <v>65</v>
      </c>
      <c r="H505" t="s">
        <v>15</v>
      </c>
      <c r="I505" s="6" t="s">
        <v>23</v>
      </c>
      <c r="J505" s="6" t="s">
        <v>17</v>
      </c>
      <c r="K505" s="6" t="s">
        <v>33</v>
      </c>
      <c r="L505" s="6" t="s">
        <v>70</v>
      </c>
      <c r="M505" s="12">
        <v>46</v>
      </c>
      <c r="N505" s="2">
        <v>116.89999999999999</v>
      </c>
      <c r="O505" s="4">
        <v>8.9399999999999993E-2</v>
      </c>
      <c r="P505" s="2">
        <v>5377.4</v>
      </c>
      <c r="Q505" s="2">
        <v>964.95</v>
      </c>
      <c r="R505" s="2">
        <v>2850.75</v>
      </c>
      <c r="S505" s="2">
        <v>476.34999999999997</v>
      </c>
      <c r="T505" s="2">
        <v>4896.6604399999997</v>
      </c>
      <c r="U505" s="2">
        <v>604.61043999999924</v>
      </c>
      <c r="V505" s="5">
        <v>0.12347403856331098</v>
      </c>
    </row>
    <row r="506" spans="1:22" x14ac:dyDescent="0.3">
      <c r="A506">
        <f t="shared" si="7"/>
        <v>505</v>
      </c>
      <c r="B506" t="s">
        <v>590</v>
      </c>
      <c r="C506" s="1">
        <v>45967</v>
      </c>
      <c r="D506" t="s">
        <v>67</v>
      </c>
      <c r="E506" s="6" t="s">
        <v>662</v>
      </c>
      <c r="F506" s="6" t="s">
        <v>66</v>
      </c>
      <c r="G506" s="6" t="s">
        <v>69</v>
      </c>
      <c r="H506" t="s">
        <v>15</v>
      </c>
      <c r="I506" s="6" t="s">
        <v>23</v>
      </c>
      <c r="J506" s="6" t="s">
        <v>17</v>
      </c>
      <c r="K506" s="6" t="s">
        <v>48</v>
      </c>
      <c r="L506" s="6" t="s">
        <v>56</v>
      </c>
      <c r="M506" s="12">
        <v>48</v>
      </c>
      <c r="N506" s="2">
        <v>123.55</v>
      </c>
      <c r="O506" s="4">
        <v>8.9900000000000008E-2</v>
      </c>
      <c r="P506" s="2">
        <v>5930.4</v>
      </c>
      <c r="Q506" s="2">
        <v>1006.9499999999999</v>
      </c>
      <c r="R506" s="2">
        <v>3187.7999999999997</v>
      </c>
      <c r="S506" s="2">
        <v>546</v>
      </c>
      <c r="T506" s="2">
        <v>5397.2570399999995</v>
      </c>
      <c r="U506" s="2">
        <v>656.50703999999985</v>
      </c>
      <c r="V506" s="5">
        <v>0.1216371640510195</v>
      </c>
    </row>
    <row r="507" spans="1:22" x14ac:dyDescent="0.3">
      <c r="A507">
        <f t="shared" si="7"/>
        <v>506</v>
      </c>
      <c r="B507" t="s">
        <v>591</v>
      </c>
      <c r="C507" s="1">
        <v>45707</v>
      </c>
      <c r="D507" t="s">
        <v>55</v>
      </c>
      <c r="E507" s="6" t="s">
        <v>664</v>
      </c>
      <c r="F507" s="6" t="s">
        <v>63</v>
      </c>
      <c r="G507" s="6" t="s">
        <v>64</v>
      </c>
      <c r="H507" t="s">
        <v>15</v>
      </c>
      <c r="I507" s="6" t="s">
        <v>31</v>
      </c>
      <c r="J507" s="6" t="s">
        <v>17</v>
      </c>
      <c r="K507" s="6" t="s">
        <v>33</v>
      </c>
      <c r="L507" s="6" t="s">
        <v>70</v>
      </c>
      <c r="M507" s="12">
        <v>510</v>
      </c>
      <c r="N507" s="2">
        <v>94.85</v>
      </c>
      <c r="O507" s="4">
        <v>0.16949999999999998</v>
      </c>
      <c r="P507" s="2">
        <v>48373.5</v>
      </c>
      <c r="Q507" s="2">
        <v>8243.5499999999993</v>
      </c>
      <c r="R507" s="2">
        <v>22424.15</v>
      </c>
      <c r="S507" s="2">
        <v>1958.95</v>
      </c>
      <c r="T507" s="2">
        <v>40174.191749999998</v>
      </c>
      <c r="U507" s="2">
        <v>7547.5417500000003</v>
      </c>
      <c r="V507" s="5">
        <v>0.18787040687632503</v>
      </c>
    </row>
    <row r="508" spans="1:22" x14ac:dyDescent="0.3">
      <c r="A508">
        <f t="shared" si="7"/>
        <v>507</v>
      </c>
      <c r="B508" t="s">
        <v>592</v>
      </c>
      <c r="C508" s="1">
        <v>45661</v>
      </c>
      <c r="D508" t="s">
        <v>44</v>
      </c>
      <c r="E508" s="6" t="s">
        <v>664</v>
      </c>
      <c r="F508" s="6" t="s">
        <v>63</v>
      </c>
      <c r="G508" s="6" t="s">
        <v>69</v>
      </c>
      <c r="H508" t="s">
        <v>15</v>
      </c>
      <c r="I508" s="6" t="s">
        <v>16</v>
      </c>
      <c r="J508" s="6" t="s">
        <v>32</v>
      </c>
      <c r="K508" s="6" t="s">
        <v>48</v>
      </c>
      <c r="L508" s="6" t="s">
        <v>54</v>
      </c>
      <c r="M508" s="12">
        <v>118</v>
      </c>
      <c r="N508" s="2">
        <v>78.05</v>
      </c>
      <c r="O508" s="4">
        <v>6.6000000000000003E-2</v>
      </c>
      <c r="P508" s="2">
        <v>9209.9</v>
      </c>
      <c r="Q508" s="2">
        <v>1100.4000000000001</v>
      </c>
      <c r="R508" s="2">
        <v>6332.9</v>
      </c>
      <c r="S508" s="2">
        <v>681.44999999999993</v>
      </c>
      <c r="T508" s="2">
        <v>8602.0465999999997</v>
      </c>
      <c r="U508" s="2">
        <v>487.29660000000013</v>
      </c>
      <c r="V508" s="5">
        <v>5.6648914224668362E-2</v>
      </c>
    </row>
    <row r="509" spans="1:22" x14ac:dyDescent="0.3">
      <c r="A509">
        <f t="shared" si="7"/>
        <v>508</v>
      </c>
      <c r="B509" t="s">
        <v>593</v>
      </c>
      <c r="C509" s="1">
        <v>45993</v>
      </c>
      <c r="D509" t="s">
        <v>50</v>
      </c>
      <c r="E509" s="6" t="s">
        <v>664</v>
      </c>
      <c r="F509" s="6" t="s">
        <v>63</v>
      </c>
      <c r="G509" s="6" t="s">
        <v>69</v>
      </c>
      <c r="H509" t="s">
        <v>15</v>
      </c>
      <c r="I509" s="6" t="s">
        <v>31</v>
      </c>
      <c r="J509" s="6" t="s">
        <v>32</v>
      </c>
      <c r="K509" s="6" t="s">
        <v>48</v>
      </c>
      <c r="L509" s="6" t="s">
        <v>49</v>
      </c>
      <c r="M509" s="12">
        <v>611</v>
      </c>
      <c r="N509" s="2">
        <v>101.85000000000001</v>
      </c>
      <c r="O509" s="4">
        <v>8.9499999999999996E-2</v>
      </c>
      <c r="P509" s="2">
        <v>62230.350000000006</v>
      </c>
      <c r="Q509" s="2">
        <v>3227</v>
      </c>
      <c r="R509" s="2">
        <v>35794.15</v>
      </c>
      <c r="S509" s="2">
        <v>3301.5499999999997</v>
      </c>
      <c r="T509" s="2">
        <v>56660.733675000003</v>
      </c>
      <c r="U509" s="2">
        <v>14338.033674999999</v>
      </c>
      <c r="V509" s="5">
        <v>0.25305061803896589</v>
      </c>
    </row>
    <row r="510" spans="1:22" x14ac:dyDescent="0.3">
      <c r="A510">
        <f t="shared" si="7"/>
        <v>509</v>
      </c>
      <c r="B510" t="s">
        <v>594</v>
      </c>
      <c r="C510" s="1">
        <v>45998</v>
      </c>
      <c r="D510" t="s">
        <v>50</v>
      </c>
      <c r="E510" s="6" t="s">
        <v>662</v>
      </c>
      <c r="F510" s="6" t="s">
        <v>42</v>
      </c>
      <c r="G510" s="6" t="s">
        <v>64</v>
      </c>
      <c r="H510" t="s">
        <v>15</v>
      </c>
      <c r="I510" s="6" t="s">
        <v>16</v>
      </c>
      <c r="J510" s="6" t="s">
        <v>24</v>
      </c>
      <c r="K510" s="6" t="s">
        <v>33</v>
      </c>
      <c r="L510" s="6" t="s">
        <v>73</v>
      </c>
      <c r="M510" s="12">
        <v>260</v>
      </c>
      <c r="N510" s="2">
        <v>146.29999999999998</v>
      </c>
      <c r="O510" s="4">
        <v>0.1137</v>
      </c>
      <c r="P510" s="2">
        <v>38037.999999999993</v>
      </c>
      <c r="Q510" s="2">
        <v>5251.4</v>
      </c>
      <c r="R510" s="2">
        <v>18652.199999999997</v>
      </c>
      <c r="S510" s="2">
        <v>2475.1999999999998</v>
      </c>
      <c r="T510" s="2">
        <v>33713.079399999995</v>
      </c>
      <c r="U510" s="2">
        <v>7334.2793999999976</v>
      </c>
      <c r="V510" s="5">
        <v>0.21754996964175272</v>
      </c>
    </row>
    <row r="511" spans="1:22" x14ac:dyDescent="0.3">
      <c r="A511">
        <f t="shared" si="7"/>
        <v>510</v>
      </c>
      <c r="B511" t="s">
        <v>595</v>
      </c>
      <c r="C511" s="1">
        <v>45811</v>
      </c>
      <c r="D511" t="s">
        <v>58</v>
      </c>
      <c r="E511" s="6" t="s">
        <v>662</v>
      </c>
      <c r="F511" s="6" t="s">
        <v>42</v>
      </c>
      <c r="G511" s="6" t="s">
        <v>22</v>
      </c>
      <c r="H511" t="s">
        <v>27</v>
      </c>
      <c r="I511" s="6" t="s">
        <v>28</v>
      </c>
      <c r="J511" s="6" t="s">
        <v>17</v>
      </c>
      <c r="K511" s="6" t="s">
        <v>18</v>
      </c>
      <c r="L511" s="6" t="s">
        <v>25</v>
      </c>
      <c r="M511" s="12">
        <v>244</v>
      </c>
      <c r="N511" s="2">
        <v>94.5</v>
      </c>
      <c r="O511" s="4">
        <v>0.1603</v>
      </c>
      <c r="P511" s="2">
        <v>23058</v>
      </c>
      <c r="Q511" s="2">
        <v>1442.3500000000001</v>
      </c>
      <c r="R511" s="2">
        <v>9293.5499999999993</v>
      </c>
      <c r="S511" s="2">
        <v>975.8</v>
      </c>
      <c r="T511" s="2">
        <v>19361.802599999999</v>
      </c>
      <c r="U511" s="2">
        <v>7650.1026000000002</v>
      </c>
      <c r="V511" s="5">
        <v>0.39511313889751154</v>
      </c>
    </row>
    <row r="512" spans="1:22" x14ac:dyDescent="0.3">
      <c r="A512">
        <f t="shared" si="7"/>
        <v>511</v>
      </c>
      <c r="B512" t="s">
        <v>596</v>
      </c>
      <c r="C512" s="1">
        <v>45736</v>
      </c>
      <c r="D512" t="s">
        <v>41</v>
      </c>
      <c r="E512" s="6" t="s">
        <v>662</v>
      </c>
      <c r="F512" s="6" t="s">
        <v>66</v>
      </c>
      <c r="G512" s="6" t="s">
        <v>64</v>
      </c>
      <c r="H512" t="s">
        <v>27</v>
      </c>
      <c r="I512" s="6" t="s">
        <v>28</v>
      </c>
      <c r="J512" s="6" t="s">
        <v>24</v>
      </c>
      <c r="K512" s="6" t="s">
        <v>46</v>
      </c>
      <c r="L512" s="6" t="s">
        <v>76</v>
      </c>
      <c r="M512" s="12">
        <v>639</v>
      </c>
      <c r="N512" s="2">
        <v>286.64999999999998</v>
      </c>
      <c r="O512" s="4">
        <v>0.19510000000000002</v>
      </c>
      <c r="P512" s="2">
        <v>183169.34999999998</v>
      </c>
      <c r="Q512" s="2">
        <v>13209</v>
      </c>
      <c r="R512" s="2">
        <v>88184.599999999991</v>
      </c>
      <c r="S512" s="2">
        <v>8907.15</v>
      </c>
      <c r="T512" s="2">
        <v>147433.00981499997</v>
      </c>
      <c r="U512" s="2">
        <v>37132.259814999983</v>
      </c>
      <c r="V512" s="5">
        <v>0.25185852111134283</v>
      </c>
    </row>
    <row r="513" spans="1:22" x14ac:dyDescent="0.3">
      <c r="A513">
        <f t="shared" si="7"/>
        <v>512</v>
      </c>
      <c r="B513" t="s">
        <v>597</v>
      </c>
      <c r="C513" s="1">
        <v>45893</v>
      </c>
      <c r="D513" t="s">
        <v>35</v>
      </c>
      <c r="E513" s="6" t="s">
        <v>662</v>
      </c>
      <c r="F513" s="6" t="s">
        <v>42</v>
      </c>
      <c r="G513" s="6" t="s">
        <v>65</v>
      </c>
      <c r="H513" t="s">
        <v>27</v>
      </c>
      <c r="I513" s="6" t="s">
        <v>16</v>
      </c>
      <c r="J513" s="6" t="s">
        <v>32</v>
      </c>
      <c r="K513" s="6" t="s">
        <v>33</v>
      </c>
      <c r="L513" s="6" t="s">
        <v>79</v>
      </c>
      <c r="M513" s="12">
        <v>36</v>
      </c>
      <c r="N513" s="2">
        <v>69.650000000000006</v>
      </c>
      <c r="O513" s="4">
        <v>9.6500000000000002E-2</v>
      </c>
      <c r="P513" s="2">
        <v>2507.4</v>
      </c>
      <c r="Q513" s="2">
        <v>261.10000000000002</v>
      </c>
      <c r="R513" s="2">
        <v>1374.1</v>
      </c>
      <c r="S513" s="2">
        <v>169.75</v>
      </c>
      <c r="T513" s="2">
        <v>2265.4358999999999</v>
      </c>
      <c r="U513" s="2">
        <v>460.48590000000002</v>
      </c>
      <c r="V513" s="5">
        <v>0.20326591452002682</v>
      </c>
    </row>
    <row r="514" spans="1:22" x14ac:dyDescent="0.3">
      <c r="A514">
        <f t="shared" ref="A514:A576" si="8">ROW(B513)</f>
        <v>513</v>
      </c>
      <c r="B514" t="s">
        <v>598</v>
      </c>
      <c r="C514" s="1">
        <v>45940</v>
      </c>
      <c r="D514" t="s">
        <v>20</v>
      </c>
      <c r="E514" s="6" t="s">
        <v>662</v>
      </c>
      <c r="F514" s="6" t="s">
        <v>66</v>
      </c>
      <c r="G514" s="6" t="s">
        <v>65</v>
      </c>
      <c r="H514" t="s">
        <v>15</v>
      </c>
      <c r="I514" s="6" t="s">
        <v>23</v>
      </c>
      <c r="J514" s="6" t="s">
        <v>24</v>
      </c>
      <c r="K514" s="6" t="s">
        <v>33</v>
      </c>
      <c r="L514" s="6" t="s">
        <v>70</v>
      </c>
      <c r="M514" s="12">
        <v>24</v>
      </c>
      <c r="N514" s="2">
        <v>114.1</v>
      </c>
      <c r="O514" s="4">
        <v>7.0000000000000007E-2</v>
      </c>
      <c r="P514" s="2">
        <v>2738.3999999999996</v>
      </c>
      <c r="Q514" s="2">
        <v>1102.5</v>
      </c>
      <c r="R514" s="2">
        <v>1495.55</v>
      </c>
      <c r="S514" s="2">
        <v>241.5</v>
      </c>
      <c r="T514" s="2">
        <v>2546.7119999999995</v>
      </c>
      <c r="U514" s="2">
        <v>-292.83800000000042</v>
      </c>
      <c r="V514" s="5">
        <v>-0.11498669657189367</v>
      </c>
    </row>
    <row r="515" spans="1:22" x14ac:dyDescent="0.3">
      <c r="A515">
        <f t="shared" si="8"/>
        <v>514</v>
      </c>
      <c r="B515" t="s">
        <v>599</v>
      </c>
      <c r="C515" s="1">
        <v>45905</v>
      </c>
      <c r="D515" t="s">
        <v>14</v>
      </c>
      <c r="E515" s="6" t="s">
        <v>662</v>
      </c>
      <c r="F515" s="6" t="s">
        <v>66</v>
      </c>
      <c r="G515" s="6" t="s">
        <v>68</v>
      </c>
      <c r="H515" t="s">
        <v>15</v>
      </c>
      <c r="I515" s="6" t="s">
        <v>23</v>
      </c>
      <c r="J515" s="6" t="s">
        <v>45</v>
      </c>
      <c r="K515" s="6" t="s">
        <v>33</v>
      </c>
      <c r="L515" s="6" t="s">
        <v>79</v>
      </c>
      <c r="M515" s="12">
        <v>26</v>
      </c>
      <c r="N515" s="2">
        <v>63.35</v>
      </c>
      <c r="O515" s="4">
        <v>0.18049999999999999</v>
      </c>
      <c r="P515" s="2">
        <v>1647.1000000000001</v>
      </c>
      <c r="Q515" s="2">
        <v>569.1</v>
      </c>
      <c r="R515" s="2">
        <v>845.25</v>
      </c>
      <c r="S515" s="2">
        <v>148.05000000000001</v>
      </c>
      <c r="T515" s="2">
        <v>1349.7984500000002</v>
      </c>
      <c r="U515" s="2">
        <v>-212.60154999999975</v>
      </c>
      <c r="V515" s="5">
        <v>-0.15750614471367907</v>
      </c>
    </row>
    <row r="516" spans="1:22" x14ac:dyDescent="0.3">
      <c r="A516">
        <f t="shared" si="8"/>
        <v>515</v>
      </c>
      <c r="B516" t="s">
        <v>600</v>
      </c>
      <c r="C516" s="1">
        <v>45883</v>
      </c>
      <c r="D516" t="s">
        <v>35</v>
      </c>
      <c r="E516" s="6" t="s">
        <v>663</v>
      </c>
      <c r="F516" s="6" t="s">
        <v>21</v>
      </c>
      <c r="G516" s="6" t="s">
        <v>69</v>
      </c>
      <c r="H516" t="s">
        <v>15</v>
      </c>
      <c r="I516" s="6" t="s">
        <v>23</v>
      </c>
      <c r="J516" s="6" t="s">
        <v>52</v>
      </c>
      <c r="K516" s="6" t="s">
        <v>18</v>
      </c>
      <c r="L516" s="6" t="s">
        <v>71</v>
      </c>
      <c r="M516" s="12">
        <v>55</v>
      </c>
      <c r="N516" s="2">
        <v>98.699999999999989</v>
      </c>
      <c r="O516" s="4">
        <v>7.8200000000000006E-2</v>
      </c>
      <c r="P516" s="2">
        <v>5428.4999999999991</v>
      </c>
      <c r="Q516" s="2">
        <v>977.2</v>
      </c>
      <c r="R516" s="2">
        <v>2497.25</v>
      </c>
      <c r="S516" s="2">
        <v>558.25</v>
      </c>
      <c r="T516" s="2">
        <v>5003.9912999999988</v>
      </c>
      <c r="U516" s="2">
        <v>971.29129999999873</v>
      </c>
      <c r="V516" s="5">
        <v>0.19410331508769788</v>
      </c>
    </row>
    <row r="517" spans="1:22" x14ac:dyDescent="0.3">
      <c r="A517">
        <f t="shared" si="8"/>
        <v>516</v>
      </c>
      <c r="B517" t="s">
        <v>601</v>
      </c>
      <c r="C517" s="1">
        <v>45747</v>
      </c>
      <c r="D517" t="s">
        <v>41</v>
      </c>
      <c r="E517" s="6" t="s">
        <v>663</v>
      </c>
      <c r="F517" s="6" t="s">
        <v>21</v>
      </c>
      <c r="G517" s="6" t="s">
        <v>65</v>
      </c>
      <c r="H517" t="s">
        <v>15</v>
      </c>
      <c r="I517" s="6" t="s">
        <v>23</v>
      </c>
      <c r="J517" s="6" t="s">
        <v>52</v>
      </c>
      <c r="K517" s="6" t="s">
        <v>33</v>
      </c>
      <c r="L517" s="6" t="s">
        <v>78</v>
      </c>
      <c r="M517" s="12">
        <v>16</v>
      </c>
      <c r="N517" s="2">
        <v>93.45</v>
      </c>
      <c r="O517" s="4">
        <v>0.1467</v>
      </c>
      <c r="P517" s="2">
        <v>1495.2</v>
      </c>
      <c r="Q517" s="2">
        <v>218.05</v>
      </c>
      <c r="R517" s="2">
        <v>739.55</v>
      </c>
      <c r="S517" s="2">
        <v>112</v>
      </c>
      <c r="T517" s="2">
        <v>1275.8541599999999</v>
      </c>
      <c r="U517" s="2">
        <v>206.2541599999999</v>
      </c>
      <c r="V517" s="5">
        <v>0.16165966806112064</v>
      </c>
    </row>
    <row r="518" spans="1:22" x14ac:dyDescent="0.3">
      <c r="A518">
        <f t="shared" si="8"/>
        <v>517</v>
      </c>
      <c r="B518" t="s">
        <v>602</v>
      </c>
      <c r="C518" s="1">
        <v>45908</v>
      </c>
      <c r="D518" t="s">
        <v>14</v>
      </c>
      <c r="E518" s="6" t="s">
        <v>662</v>
      </c>
      <c r="F518" s="6" t="s">
        <v>42</v>
      </c>
      <c r="G518" s="6" t="s">
        <v>82</v>
      </c>
      <c r="H518" t="s">
        <v>27</v>
      </c>
      <c r="I518" s="6" t="s">
        <v>28</v>
      </c>
      <c r="J518" s="6" t="s">
        <v>32</v>
      </c>
      <c r="K518" s="6" t="s">
        <v>46</v>
      </c>
      <c r="L518" s="6" t="s">
        <v>89</v>
      </c>
      <c r="M518" s="12">
        <v>479</v>
      </c>
      <c r="N518" s="2">
        <v>86.1</v>
      </c>
      <c r="O518" s="4">
        <v>0.1027</v>
      </c>
      <c r="P518" s="2">
        <v>41241.899999999994</v>
      </c>
      <c r="Q518" s="2">
        <v>2021.95</v>
      </c>
      <c r="R518" s="2">
        <v>22487.85</v>
      </c>
      <c r="S518" s="2">
        <v>2211.3000000000002</v>
      </c>
      <c r="T518" s="2">
        <v>37006.356869999996</v>
      </c>
      <c r="U518" s="2">
        <v>10285.256869999994</v>
      </c>
      <c r="V518" s="5">
        <v>0.27793216463136794</v>
      </c>
    </row>
    <row r="519" spans="1:22" x14ac:dyDescent="0.3">
      <c r="A519">
        <f t="shared" si="8"/>
        <v>518</v>
      </c>
      <c r="B519" t="s">
        <v>603</v>
      </c>
      <c r="C519" s="1">
        <v>45788</v>
      </c>
      <c r="D519" t="s">
        <v>30</v>
      </c>
      <c r="E519" s="6" t="s">
        <v>662</v>
      </c>
      <c r="F519" s="6" t="s">
        <v>66</v>
      </c>
      <c r="G519" s="6" t="s">
        <v>69</v>
      </c>
      <c r="H519" t="s">
        <v>27</v>
      </c>
      <c r="I519" s="6" t="s">
        <v>28</v>
      </c>
      <c r="J519" s="6" t="s">
        <v>32</v>
      </c>
      <c r="K519" s="6" t="s">
        <v>33</v>
      </c>
      <c r="L519" s="6" t="s">
        <v>34</v>
      </c>
      <c r="M519" s="12">
        <v>582</v>
      </c>
      <c r="N519" s="2">
        <v>98.350000000000009</v>
      </c>
      <c r="O519" s="4">
        <v>0.16739999999999999</v>
      </c>
      <c r="P519" s="2">
        <v>57239.700000000004</v>
      </c>
      <c r="Q519" s="2">
        <v>3564.4</v>
      </c>
      <c r="R519" s="2">
        <v>28934.15</v>
      </c>
      <c r="S519" s="2">
        <v>2469.9499999999998</v>
      </c>
      <c r="T519" s="2">
        <v>47657.774220000007</v>
      </c>
      <c r="U519" s="2">
        <v>12689.274220000008</v>
      </c>
      <c r="V519" s="5">
        <v>0.26625822182595432</v>
      </c>
    </row>
    <row r="520" spans="1:22" x14ac:dyDescent="0.3">
      <c r="A520">
        <f t="shared" si="8"/>
        <v>519</v>
      </c>
      <c r="B520" t="s">
        <v>604</v>
      </c>
      <c r="C520" s="1">
        <v>45813</v>
      </c>
      <c r="D520" t="s">
        <v>58</v>
      </c>
      <c r="E520" s="6" t="s">
        <v>662</v>
      </c>
      <c r="F520" s="6" t="s">
        <v>42</v>
      </c>
      <c r="G520" s="6" t="s">
        <v>69</v>
      </c>
      <c r="H520" t="s">
        <v>15</v>
      </c>
      <c r="I520" s="6" t="s">
        <v>23</v>
      </c>
      <c r="J520" s="6" t="s">
        <v>32</v>
      </c>
      <c r="K520" s="6" t="s">
        <v>37</v>
      </c>
      <c r="L520" s="6" t="s">
        <v>90</v>
      </c>
      <c r="M520" s="12">
        <v>128</v>
      </c>
      <c r="N520" s="2">
        <v>152.95000000000002</v>
      </c>
      <c r="O520" s="4">
        <v>2.8799999999999999E-2</v>
      </c>
      <c r="P520" s="2">
        <v>19577.600000000002</v>
      </c>
      <c r="Q520" s="2">
        <v>2077.25</v>
      </c>
      <c r="R520" s="2">
        <v>10016.300000000001</v>
      </c>
      <c r="S520" s="2">
        <v>1989.75</v>
      </c>
      <c r="T520" s="2">
        <v>19013.76512</v>
      </c>
      <c r="U520" s="2">
        <v>4930.4651199999989</v>
      </c>
      <c r="V520" s="5">
        <v>0.2593102990850451</v>
      </c>
    </row>
    <row r="521" spans="1:22" x14ac:dyDescent="0.3">
      <c r="A521">
        <f t="shared" si="8"/>
        <v>520</v>
      </c>
      <c r="B521" t="s">
        <v>605</v>
      </c>
      <c r="C521" s="1">
        <v>46008</v>
      </c>
      <c r="D521" t="s">
        <v>50</v>
      </c>
      <c r="E521" s="6" t="s">
        <v>663</v>
      </c>
      <c r="F521" s="6" t="s">
        <v>21</v>
      </c>
      <c r="G521" s="6" t="s">
        <v>69</v>
      </c>
      <c r="H521" t="s">
        <v>15</v>
      </c>
      <c r="I521" s="6" t="s">
        <v>23</v>
      </c>
      <c r="J521" s="6" t="s">
        <v>32</v>
      </c>
      <c r="K521" s="6" t="s">
        <v>33</v>
      </c>
      <c r="L521" s="6" t="s">
        <v>79</v>
      </c>
      <c r="M521" s="12">
        <v>69</v>
      </c>
      <c r="N521" s="2">
        <v>65.45</v>
      </c>
      <c r="O521" s="4">
        <v>1.26E-2</v>
      </c>
      <c r="P521" s="2">
        <v>4516.05</v>
      </c>
      <c r="Q521" s="2">
        <v>987.35</v>
      </c>
      <c r="R521" s="2">
        <v>2733.85</v>
      </c>
      <c r="S521" s="2">
        <v>476.7</v>
      </c>
      <c r="T521" s="2">
        <v>4459.1477700000005</v>
      </c>
      <c r="U521" s="2">
        <v>261.24777000000074</v>
      </c>
      <c r="V521" s="5">
        <v>5.8586928147483376E-2</v>
      </c>
    </row>
    <row r="522" spans="1:22" x14ac:dyDescent="0.3">
      <c r="A522">
        <f t="shared" si="8"/>
        <v>521</v>
      </c>
      <c r="B522" t="s">
        <v>606</v>
      </c>
      <c r="C522" s="1">
        <v>45889</v>
      </c>
      <c r="D522" t="s">
        <v>35</v>
      </c>
      <c r="E522" s="6" t="s">
        <v>662</v>
      </c>
      <c r="F522" s="6" t="s">
        <v>42</v>
      </c>
      <c r="G522" s="6" t="s">
        <v>39</v>
      </c>
      <c r="H522" t="s">
        <v>15</v>
      </c>
      <c r="I522" s="6" t="s">
        <v>16</v>
      </c>
      <c r="J522" s="6" t="s">
        <v>52</v>
      </c>
      <c r="K522" s="6" t="s">
        <v>18</v>
      </c>
      <c r="L522" s="6" t="s">
        <v>80</v>
      </c>
      <c r="M522" s="12">
        <v>78</v>
      </c>
      <c r="N522" s="2">
        <v>79.099999999999994</v>
      </c>
      <c r="O522" s="4">
        <v>0.15060000000000001</v>
      </c>
      <c r="P522" s="2">
        <v>6169.7999999999993</v>
      </c>
      <c r="Q522" s="2">
        <v>734.65</v>
      </c>
      <c r="R522" s="2">
        <v>2515.4500000000003</v>
      </c>
      <c r="S522" s="2">
        <v>350</v>
      </c>
      <c r="T522" s="2">
        <v>5240.6281199999994</v>
      </c>
      <c r="U522" s="2">
        <v>1640.528119999999</v>
      </c>
      <c r="V522" s="5">
        <v>0.31304036127638823</v>
      </c>
    </row>
    <row r="523" spans="1:22" x14ac:dyDescent="0.3">
      <c r="A523">
        <f t="shared" si="8"/>
        <v>522</v>
      </c>
      <c r="B523" t="s">
        <v>607</v>
      </c>
      <c r="C523" s="1">
        <v>45716</v>
      </c>
      <c r="D523" t="s">
        <v>55</v>
      </c>
      <c r="E523" s="6" t="s">
        <v>662</v>
      </c>
      <c r="F523" s="6" t="s">
        <v>42</v>
      </c>
      <c r="G523" s="6" t="s">
        <v>69</v>
      </c>
      <c r="H523" t="s">
        <v>27</v>
      </c>
      <c r="I523" s="6" t="s">
        <v>16</v>
      </c>
      <c r="J523" s="6" t="s">
        <v>17</v>
      </c>
      <c r="K523" s="6" t="s">
        <v>18</v>
      </c>
      <c r="L523" s="6" t="s">
        <v>59</v>
      </c>
      <c r="M523" s="12">
        <v>184</v>
      </c>
      <c r="N523" s="2">
        <v>220.15</v>
      </c>
      <c r="O523" s="4">
        <v>0.19239999999999999</v>
      </c>
      <c r="P523" s="2">
        <v>40507.599999999999</v>
      </c>
      <c r="Q523" s="2">
        <v>4144.7</v>
      </c>
      <c r="R523" s="2">
        <v>17494.399999999998</v>
      </c>
      <c r="S523" s="2">
        <v>2203.25</v>
      </c>
      <c r="T523" s="2">
        <v>32713.937759999997</v>
      </c>
      <c r="U523" s="2">
        <v>8871.5877599999985</v>
      </c>
      <c r="V523" s="5">
        <v>0.27118678971283827</v>
      </c>
    </row>
    <row r="524" spans="1:22" x14ac:dyDescent="0.3">
      <c r="A524">
        <f t="shared" si="8"/>
        <v>523</v>
      </c>
      <c r="B524" t="s">
        <v>608</v>
      </c>
      <c r="C524" s="1">
        <v>45889</v>
      </c>
      <c r="D524" t="s">
        <v>35</v>
      </c>
      <c r="E524" s="6" t="s">
        <v>663</v>
      </c>
      <c r="F524" s="6" t="s">
        <v>21</v>
      </c>
      <c r="G524" s="6" t="s">
        <v>64</v>
      </c>
      <c r="H524" t="s">
        <v>27</v>
      </c>
      <c r="I524" s="6" t="s">
        <v>28</v>
      </c>
      <c r="J524" s="6" t="s">
        <v>32</v>
      </c>
      <c r="K524" s="6" t="s">
        <v>37</v>
      </c>
      <c r="L524" s="6" t="s">
        <v>38</v>
      </c>
      <c r="M524" s="12">
        <v>325</v>
      </c>
      <c r="N524" s="2">
        <v>86.45</v>
      </c>
      <c r="O524" s="4">
        <v>0.12119999999999999</v>
      </c>
      <c r="P524" s="2">
        <v>28096.25</v>
      </c>
      <c r="Q524" s="2">
        <v>1557.15</v>
      </c>
      <c r="R524" s="2">
        <v>12918.15</v>
      </c>
      <c r="S524" s="2">
        <v>1440.25</v>
      </c>
      <c r="T524" s="2">
        <v>24690.984500000002</v>
      </c>
      <c r="U524" s="2">
        <v>8775.434500000003</v>
      </c>
      <c r="V524" s="5">
        <v>0.35541047381079527</v>
      </c>
    </row>
    <row r="525" spans="1:22" x14ac:dyDescent="0.3">
      <c r="A525">
        <f t="shared" si="8"/>
        <v>524</v>
      </c>
      <c r="B525" t="s">
        <v>609</v>
      </c>
      <c r="C525" s="1">
        <v>45789</v>
      </c>
      <c r="D525" t="s">
        <v>30</v>
      </c>
      <c r="E525" s="6" t="s">
        <v>664</v>
      </c>
      <c r="F525" s="6" t="s">
        <v>63</v>
      </c>
      <c r="G525" s="6" t="s">
        <v>69</v>
      </c>
      <c r="H525" t="s">
        <v>15</v>
      </c>
      <c r="I525" s="6" t="s">
        <v>23</v>
      </c>
      <c r="J525" s="6" t="s">
        <v>84</v>
      </c>
      <c r="K525" s="6" t="s">
        <v>48</v>
      </c>
      <c r="L525" s="6" t="s">
        <v>57</v>
      </c>
      <c r="M525" s="12">
        <v>8</v>
      </c>
      <c r="N525" s="2">
        <v>93.45</v>
      </c>
      <c r="O525" s="4">
        <v>0.1013</v>
      </c>
      <c r="P525" s="2">
        <v>747.6</v>
      </c>
      <c r="Q525" s="2">
        <v>122.5</v>
      </c>
      <c r="R525" s="2">
        <v>468.3</v>
      </c>
      <c r="S525" s="2">
        <v>74.2</v>
      </c>
      <c r="T525" s="2">
        <v>671.86812000000009</v>
      </c>
      <c r="U525" s="2">
        <v>6.8681200000000331</v>
      </c>
      <c r="V525" s="5">
        <v>1.022242281714458E-2</v>
      </c>
    </row>
    <row r="526" spans="1:22" x14ac:dyDescent="0.3">
      <c r="A526">
        <f t="shared" si="8"/>
        <v>525</v>
      </c>
      <c r="B526" t="s">
        <v>610</v>
      </c>
      <c r="C526" s="1">
        <v>45813</v>
      </c>
      <c r="D526" t="s">
        <v>58</v>
      </c>
      <c r="E526" s="6" t="s">
        <v>664</v>
      </c>
      <c r="F526" s="6" t="s">
        <v>63</v>
      </c>
      <c r="G526" s="6" t="s">
        <v>82</v>
      </c>
      <c r="H526" t="s">
        <v>15</v>
      </c>
      <c r="I526" s="6" t="s">
        <v>31</v>
      </c>
      <c r="J526" s="6" t="s">
        <v>24</v>
      </c>
      <c r="K526" s="6" t="s">
        <v>37</v>
      </c>
      <c r="L526" s="6" t="s">
        <v>77</v>
      </c>
      <c r="M526" s="12">
        <v>348</v>
      </c>
      <c r="N526" s="2">
        <v>181.65</v>
      </c>
      <c r="O526" s="4">
        <v>0.13919999999999999</v>
      </c>
      <c r="P526" s="2">
        <v>63214.200000000004</v>
      </c>
      <c r="Q526" s="2">
        <v>3512.25</v>
      </c>
      <c r="R526" s="2">
        <v>33611.550000000003</v>
      </c>
      <c r="S526" s="2">
        <v>2346.4</v>
      </c>
      <c r="T526" s="2">
        <v>54414.783360000001</v>
      </c>
      <c r="U526" s="2">
        <v>14944.583359999997</v>
      </c>
      <c r="V526" s="5">
        <v>0.27464197111893079</v>
      </c>
    </row>
    <row r="527" spans="1:22" x14ac:dyDescent="0.3">
      <c r="A527">
        <f t="shared" si="8"/>
        <v>526</v>
      </c>
      <c r="B527" t="s">
        <v>611</v>
      </c>
      <c r="C527" s="1">
        <v>45716</v>
      </c>
      <c r="D527" t="s">
        <v>55</v>
      </c>
      <c r="E527" s="6" t="s">
        <v>662</v>
      </c>
      <c r="F527" s="6" t="s">
        <v>42</v>
      </c>
      <c r="G527" s="6" t="s">
        <v>82</v>
      </c>
      <c r="H527" t="s">
        <v>15</v>
      </c>
      <c r="I527" s="6" t="s">
        <v>23</v>
      </c>
      <c r="J527" s="6" t="s">
        <v>52</v>
      </c>
      <c r="K527" s="6" t="s">
        <v>33</v>
      </c>
      <c r="L527" s="6" t="s">
        <v>73</v>
      </c>
      <c r="M527" s="12">
        <v>27</v>
      </c>
      <c r="N527" s="2">
        <v>134.75</v>
      </c>
      <c r="O527" s="4">
        <v>0.10730000000000001</v>
      </c>
      <c r="P527" s="2">
        <v>3638.25</v>
      </c>
      <c r="Q527" s="2">
        <v>790.65</v>
      </c>
      <c r="R527" s="2">
        <v>1913.1</v>
      </c>
      <c r="S527" s="2">
        <v>316.04999999999995</v>
      </c>
      <c r="T527" s="2">
        <v>3247.8657750000002</v>
      </c>
      <c r="U527" s="2">
        <v>228.06577500000014</v>
      </c>
      <c r="V527" s="5">
        <v>7.0220197138534807E-2</v>
      </c>
    </row>
    <row r="528" spans="1:22" x14ac:dyDescent="0.3">
      <c r="A528">
        <f t="shared" si="8"/>
        <v>527</v>
      </c>
      <c r="B528" t="s">
        <v>612</v>
      </c>
      <c r="C528" s="1">
        <v>45925</v>
      </c>
      <c r="D528" t="s">
        <v>14</v>
      </c>
      <c r="E528" s="6" t="s">
        <v>664</v>
      </c>
      <c r="F528" s="6" t="s">
        <v>63</v>
      </c>
      <c r="G528" s="6" t="s">
        <v>43</v>
      </c>
      <c r="H528" t="s">
        <v>15</v>
      </c>
      <c r="I528" s="6" t="s">
        <v>16</v>
      </c>
      <c r="J528" s="6" t="s">
        <v>17</v>
      </c>
      <c r="K528" s="6" t="s">
        <v>18</v>
      </c>
      <c r="L528" s="6" t="s">
        <v>80</v>
      </c>
      <c r="M528" s="12">
        <v>84</v>
      </c>
      <c r="N528" s="2">
        <v>79.099999999999994</v>
      </c>
      <c r="O528" s="4">
        <v>0.12189999999999999</v>
      </c>
      <c r="P528" s="2">
        <v>6644.4</v>
      </c>
      <c r="Q528" s="2">
        <v>623</v>
      </c>
      <c r="R528" s="2">
        <v>2800.7</v>
      </c>
      <c r="S528" s="2">
        <v>398.3</v>
      </c>
      <c r="T528" s="2">
        <v>5834.4476399999994</v>
      </c>
      <c r="U528" s="2">
        <v>2012.4476399999994</v>
      </c>
      <c r="V528" s="5">
        <v>0.34492513502100769</v>
      </c>
    </row>
    <row r="529" spans="1:22" x14ac:dyDescent="0.3">
      <c r="A529">
        <f t="shared" si="8"/>
        <v>528</v>
      </c>
      <c r="B529" t="s">
        <v>613</v>
      </c>
      <c r="C529" s="1">
        <v>45857</v>
      </c>
      <c r="D529" t="s">
        <v>26</v>
      </c>
      <c r="E529" s="6" t="s">
        <v>663</v>
      </c>
      <c r="F529" s="6" t="s">
        <v>21</v>
      </c>
      <c r="G529" s="6" t="s">
        <v>22</v>
      </c>
      <c r="H529" t="s">
        <v>27</v>
      </c>
      <c r="I529" s="6" t="s">
        <v>16</v>
      </c>
      <c r="J529" s="6" t="s">
        <v>17</v>
      </c>
      <c r="K529" s="6" t="s">
        <v>33</v>
      </c>
      <c r="L529" s="6" t="s">
        <v>53</v>
      </c>
      <c r="M529" s="12">
        <v>151</v>
      </c>
      <c r="N529" s="2">
        <v>70</v>
      </c>
      <c r="O529" s="4">
        <v>0.14199999999999999</v>
      </c>
      <c r="P529" s="2">
        <v>10570</v>
      </c>
      <c r="Q529" s="2">
        <v>1251.5999999999999</v>
      </c>
      <c r="R529" s="2">
        <v>5668.6</v>
      </c>
      <c r="S529" s="2">
        <v>575.75</v>
      </c>
      <c r="T529" s="2">
        <v>9069.06</v>
      </c>
      <c r="U529" s="2">
        <v>1573.1099999999992</v>
      </c>
      <c r="V529" s="5">
        <v>0.17345899133978596</v>
      </c>
    </row>
    <row r="530" spans="1:22" x14ac:dyDescent="0.3">
      <c r="A530">
        <f t="shared" si="8"/>
        <v>529</v>
      </c>
      <c r="B530" t="s">
        <v>614</v>
      </c>
      <c r="C530" s="1">
        <v>45730</v>
      </c>
      <c r="D530" t="s">
        <v>41</v>
      </c>
      <c r="E530" s="6" t="s">
        <v>662</v>
      </c>
      <c r="F530" s="6" t="s">
        <v>66</v>
      </c>
      <c r="G530" s="6" t="s">
        <v>64</v>
      </c>
      <c r="H530" t="s">
        <v>15</v>
      </c>
      <c r="I530" s="6" t="s">
        <v>23</v>
      </c>
      <c r="J530" s="6" t="s">
        <v>24</v>
      </c>
      <c r="K530" s="6" t="s">
        <v>37</v>
      </c>
      <c r="L530" s="6" t="s">
        <v>38</v>
      </c>
      <c r="M530" s="12">
        <v>81</v>
      </c>
      <c r="N530" s="2">
        <v>76.300000000000011</v>
      </c>
      <c r="O530" s="4">
        <v>7.5600000000000001E-2</v>
      </c>
      <c r="P530" s="2">
        <v>6180.3000000000011</v>
      </c>
      <c r="Q530" s="2">
        <v>1040.55</v>
      </c>
      <c r="R530" s="2">
        <v>2980.25</v>
      </c>
      <c r="S530" s="2">
        <v>548.1</v>
      </c>
      <c r="T530" s="2">
        <v>5713.0693200000014</v>
      </c>
      <c r="U530" s="2">
        <v>1144.1693200000011</v>
      </c>
      <c r="V530" s="5">
        <v>0.20027226275630081</v>
      </c>
    </row>
    <row r="531" spans="1:22" x14ac:dyDescent="0.3">
      <c r="A531">
        <f t="shared" si="8"/>
        <v>530</v>
      </c>
      <c r="B531" t="s">
        <v>615</v>
      </c>
      <c r="C531" s="1">
        <v>45765</v>
      </c>
      <c r="D531" t="s">
        <v>61</v>
      </c>
      <c r="E531" s="6" t="s">
        <v>664</v>
      </c>
      <c r="F531" s="6" t="s">
        <v>63</v>
      </c>
      <c r="G531" s="6" t="s">
        <v>65</v>
      </c>
      <c r="H531" t="s">
        <v>15</v>
      </c>
      <c r="I531" s="6" t="s">
        <v>31</v>
      </c>
      <c r="J531" s="6" t="s">
        <v>84</v>
      </c>
      <c r="K531" s="6" t="s">
        <v>48</v>
      </c>
      <c r="L531" s="6" t="s">
        <v>57</v>
      </c>
      <c r="M531" s="12">
        <v>755</v>
      </c>
      <c r="N531" s="2">
        <v>86.45</v>
      </c>
      <c r="O531" s="4">
        <v>0.18030000000000002</v>
      </c>
      <c r="P531" s="2">
        <v>65269.75</v>
      </c>
      <c r="Q531" s="2">
        <v>6802.6</v>
      </c>
      <c r="R531" s="2">
        <v>39963.35</v>
      </c>
      <c r="S531" s="2">
        <v>3084.9</v>
      </c>
      <c r="T531" s="2">
        <v>53501.614074999998</v>
      </c>
      <c r="U531" s="2">
        <v>3650.7640749999973</v>
      </c>
      <c r="V531" s="5">
        <v>6.8236522170756542E-2</v>
      </c>
    </row>
    <row r="532" spans="1:22" x14ac:dyDescent="0.3">
      <c r="A532">
        <f t="shared" si="8"/>
        <v>531</v>
      </c>
      <c r="B532" t="s">
        <v>616</v>
      </c>
      <c r="C532" s="1">
        <v>45792</v>
      </c>
      <c r="D532" t="s">
        <v>30</v>
      </c>
      <c r="E532" s="6" t="s">
        <v>663</v>
      </c>
      <c r="F532" s="6" t="s">
        <v>21</v>
      </c>
      <c r="G532" s="6" t="s">
        <v>65</v>
      </c>
      <c r="H532" t="s">
        <v>15</v>
      </c>
      <c r="I532" s="6" t="s">
        <v>23</v>
      </c>
      <c r="J532" s="6" t="s">
        <v>32</v>
      </c>
      <c r="K532" s="6" t="s">
        <v>46</v>
      </c>
      <c r="L532" s="6" t="s">
        <v>51</v>
      </c>
      <c r="M532" s="12">
        <v>16</v>
      </c>
      <c r="N532" s="2">
        <v>139.30000000000001</v>
      </c>
      <c r="O532" s="4">
        <v>1.6500000000000001E-2</v>
      </c>
      <c r="P532" s="2">
        <v>2228.8000000000002</v>
      </c>
      <c r="Q532" s="2">
        <v>638.4</v>
      </c>
      <c r="R532" s="2">
        <v>1157.8</v>
      </c>
      <c r="S532" s="2">
        <v>271.59999999999997</v>
      </c>
      <c r="T532" s="2">
        <v>2192.0248000000001</v>
      </c>
      <c r="U532" s="2">
        <v>124.2248000000003</v>
      </c>
      <c r="V532" s="5">
        <v>5.6671256639067358E-2</v>
      </c>
    </row>
    <row r="533" spans="1:22" x14ac:dyDescent="0.3">
      <c r="A533">
        <f t="shared" si="8"/>
        <v>532</v>
      </c>
      <c r="B533" t="s">
        <v>617</v>
      </c>
      <c r="C533" s="1">
        <v>45936</v>
      </c>
      <c r="D533" t="s">
        <v>20</v>
      </c>
      <c r="E533" s="6" t="s">
        <v>664</v>
      </c>
      <c r="F533" s="6" t="s">
        <v>63</v>
      </c>
      <c r="G533" s="6" t="s">
        <v>82</v>
      </c>
      <c r="H533" t="s">
        <v>15</v>
      </c>
      <c r="I533" s="6" t="s">
        <v>23</v>
      </c>
      <c r="J533" s="6" t="s">
        <v>32</v>
      </c>
      <c r="K533" s="6" t="s">
        <v>18</v>
      </c>
      <c r="L533" s="6" t="s">
        <v>71</v>
      </c>
      <c r="M533" s="12">
        <v>42</v>
      </c>
      <c r="N533" s="2">
        <v>95.9</v>
      </c>
      <c r="O533" s="4">
        <v>7.4900000000000008E-2</v>
      </c>
      <c r="P533" s="2">
        <v>4027.8</v>
      </c>
      <c r="Q533" s="2">
        <v>505.4</v>
      </c>
      <c r="R533" s="2">
        <v>2013.2</v>
      </c>
      <c r="S533" s="2">
        <v>400.05</v>
      </c>
      <c r="T533" s="2">
        <v>3726.1177800000005</v>
      </c>
      <c r="U533" s="2">
        <v>807.46778000000029</v>
      </c>
      <c r="V533" s="5">
        <v>0.21670484608245533</v>
      </c>
    </row>
    <row r="534" spans="1:22" x14ac:dyDescent="0.3">
      <c r="A534">
        <f t="shared" si="8"/>
        <v>533</v>
      </c>
      <c r="B534" t="s">
        <v>618</v>
      </c>
      <c r="C534" s="1">
        <v>46008</v>
      </c>
      <c r="D534" t="s">
        <v>50</v>
      </c>
      <c r="E534" s="6" t="s">
        <v>662</v>
      </c>
      <c r="F534" s="6" t="s">
        <v>66</v>
      </c>
      <c r="G534" s="6" t="s">
        <v>22</v>
      </c>
      <c r="H534" t="s">
        <v>27</v>
      </c>
      <c r="I534" s="6" t="s">
        <v>28</v>
      </c>
      <c r="J534" s="6" t="s">
        <v>32</v>
      </c>
      <c r="K534" s="6" t="s">
        <v>37</v>
      </c>
      <c r="L534" s="6" t="s">
        <v>72</v>
      </c>
      <c r="M534" s="12">
        <v>459</v>
      </c>
      <c r="N534" s="2">
        <v>61.95</v>
      </c>
      <c r="O534" s="4">
        <v>0.1072</v>
      </c>
      <c r="P534" s="2">
        <v>28435.050000000003</v>
      </c>
      <c r="Q534" s="2">
        <v>1539.3</v>
      </c>
      <c r="R534" s="2">
        <v>13297.2</v>
      </c>
      <c r="S534" s="2">
        <v>1386.6999999999998</v>
      </c>
      <c r="T534" s="2">
        <v>25386.812640000004</v>
      </c>
      <c r="U534" s="2">
        <v>9163.612640000003</v>
      </c>
      <c r="V534" s="5">
        <v>0.36095955683548941</v>
      </c>
    </row>
    <row r="535" spans="1:22" x14ac:dyDescent="0.3">
      <c r="A535">
        <f t="shared" si="8"/>
        <v>534</v>
      </c>
      <c r="B535" t="s">
        <v>619</v>
      </c>
      <c r="C535" s="1">
        <v>45948</v>
      </c>
      <c r="D535" t="s">
        <v>20</v>
      </c>
      <c r="E535" s="6" t="s">
        <v>664</v>
      </c>
      <c r="F535" s="6" t="s">
        <v>63</v>
      </c>
      <c r="G535" s="6" t="s">
        <v>68</v>
      </c>
      <c r="H535" t="s">
        <v>15</v>
      </c>
      <c r="I535" s="6" t="s">
        <v>23</v>
      </c>
      <c r="J535" s="6" t="s">
        <v>17</v>
      </c>
      <c r="K535" s="6" t="s">
        <v>18</v>
      </c>
      <c r="L535" s="6" t="s">
        <v>59</v>
      </c>
      <c r="M535" s="12">
        <v>14</v>
      </c>
      <c r="N535" s="2">
        <v>206.85</v>
      </c>
      <c r="O535" s="4">
        <v>4.6100000000000002E-2</v>
      </c>
      <c r="P535" s="2">
        <v>2895.9</v>
      </c>
      <c r="Q535" s="2">
        <v>475.3</v>
      </c>
      <c r="R535" s="2">
        <v>1555.75</v>
      </c>
      <c r="S535" s="2">
        <v>245.35</v>
      </c>
      <c r="T535" s="2">
        <v>2762.3990100000001</v>
      </c>
      <c r="U535" s="2">
        <v>485.99901000000017</v>
      </c>
      <c r="V535" s="5">
        <v>0.17593367512827199</v>
      </c>
    </row>
    <row r="536" spans="1:22" x14ac:dyDescent="0.3">
      <c r="A536">
        <f t="shared" si="8"/>
        <v>535</v>
      </c>
      <c r="B536" t="s">
        <v>620</v>
      </c>
      <c r="C536" s="1">
        <v>45724</v>
      </c>
      <c r="D536" t="s">
        <v>41</v>
      </c>
      <c r="E536" s="6" t="s">
        <v>664</v>
      </c>
      <c r="F536" s="6" t="s">
        <v>63</v>
      </c>
      <c r="G536" s="6" t="s">
        <v>69</v>
      </c>
      <c r="H536" t="s">
        <v>27</v>
      </c>
      <c r="I536" s="6" t="s">
        <v>16</v>
      </c>
      <c r="J536" s="6" t="s">
        <v>32</v>
      </c>
      <c r="K536" s="6" t="s">
        <v>48</v>
      </c>
      <c r="L536" s="6" t="s">
        <v>57</v>
      </c>
      <c r="M536" s="12">
        <v>181</v>
      </c>
      <c r="N536" s="2">
        <v>82.95</v>
      </c>
      <c r="O536" s="4">
        <v>9.8299999999999998E-2</v>
      </c>
      <c r="P536" s="2">
        <v>15013.95</v>
      </c>
      <c r="Q536" s="2">
        <v>1570.1</v>
      </c>
      <c r="R536" s="2">
        <v>10015.6</v>
      </c>
      <c r="S536" s="2">
        <v>1137.5</v>
      </c>
      <c r="T536" s="2">
        <v>13538.078715</v>
      </c>
      <c r="U536" s="2">
        <v>814.87871499999937</v>
      </c>
      <c r="V536" s="5">
        <v>6.0191607107227506E-2</v>
      </c>
    </row>
    <row r="537" spans="1:22" x14ac:dyDescent="0.3">
      <c r="A537">
        <f t="shared" si="8"/>
        <v>536</v>
      </c>
      <c r="B537" t="s">
        <v>621</v>
      </c>
      <c r="C537" s="1">
        <v>45938</v>
      </c>
      <c r="D537" t="s">
        <v>20</v>
      </c>
      <c r="E537" s="6" t="s">
        <v>663</v>
      </c>
      <c r="F537" s="6" t="s">
        <v>21</v>
      </c>
      <c r="G537" s="6" t="s">
        <v>82</v>
      </c>
      <c r="H537" t="s">
        <v>15</v>
      </c>
      <c r="I537" s="6" t="s">
        <v>16</v>
      </c>
      <c r="J537" s="6" t="s">
        <v>36</v>
      </c>
      <c r="K537" s="6" t="s">
        <v>33</v>
      </c>
      <c r="L537" s="6" t="s">
        <v>79</v>
      </c>
      <c r="M537" s="12">
        <v>124</v>
      </c>
      <c r="N537" s="2">
        <v>66.5</v>
      </c>
      <c r="O537" s="4">
        <v>0.13449999999999998</v>
      </c>
      <c r="P537" s="2">
        <v>8246</v>
      </c>
      <c r="Q537" s="2">
        <v>906.85</v>
      </c>
      <c r="R537" s="2">
        <v>4244.8</v>
      </c>
      <c r="S537" s="2">
        <v>559.30000000000007</v>
      </c>
      <c r="T537" s="2">
        <v>7136.9130000000005</v>
      </c>
      <c r="U537" s="2">
        <v>1425.9630000000002</v>
      </c>
      <c r="V537" s="5">
        <v>0.19980109047146857</v>
      </c>
    </row>
    <row r="538" spans="1:22" x14ac:dyDescent="0.3">
      <c r="A538">
        <f t="shared" si="8"/>
        <v>537</v>
      </c>
      <c r="B538" t="s">
        <v>622</v>
      </c>
      <c r="C538" s="1">
        <v>45691</v>
      </c>
      <c r="D538" t="s">
        <v>55</v>
      </c>
      <c r="E538" s="6" t="s">
        <v>663</v>
      </c>
      <c r="F538" s="6" t="s">
        <v>21</v>
      </c>
      <c r="G538" s="6" t="s">
        <v>68</v>
      </c>
      <c r="H538" t="s">
        <v>15</v>
      </c>
      <c r="I538" s="6" t="s">
        <v>16</v>
      </c>
      <c r="J538" s="6" t="s">
        <v>24</v>
      </c>
      <c r="K538" s="6" t="s">
        <v>48</v>
      </c>
      <c r="L538" s="6" t="s">
        <v>49</v>
      </c>
      <c r="M538" s="12">
        <v>249</v>
      </c>
      <c r="N538" s="2">
        <v>115.5</v>
      </c>
      <c r="O538" s="4">
        <v>0.1449</v>
      </c>
      <c r="P538" s="2">
        <v>28759.5</v>
      </c>
      <c r="Q538" s="2">
        <v>3045</v>
      </c>
      <c r="R538" s="2">
        <v>13866.65</v>
      </c>
      <c r="S538" s="2">
        <v>1825.6</v>
      </c>
      <c r="T538" s="2">
        <v>24592.248449999999</v>
      </c>
      <c r="U538" s="2">
        <v>5854.998450000001</v>
      </c>
      <c r="V538" s="5">
        <v>0.23808308792521171</v>
      </c>
    </row>
    <row r="539" spans="1:22" x14ac:dyDescent="0.3">
      <c r="A539">
        <f t="shared" si="8"/>
        <v>538</v>
      </c>
      <c r="B539" t="s">
        <v>623</v>
      </c>
      <c r="C539" s="1">
        <v>45904</v>
      </c>
      <c r="D539" t="s">
        <v>14</v>
      </c>
      <c r="E539" s="6" t="s">
        <v>662</v>
      </c>
      <c r="F539" s="6" t="s">
        <v>66</v>
      </c>
      <c r="G539" s="6" t="s">
        <v>22</v>
      </c>
      <c r="H539" t="s">
        <v>15</v>
      </c>
      <c r="I539" s="6" t="s">
        <v>16</v>
      </c>
      <c r="J539" s="6" t="s">
        <v>32</v>
      </c>
      <c r="K539" s="6" t="s">
        <v>46</v>
      </c>
      <c r="L539" s="6" t="s">
        <v>47</v>
      </c>
      <c r="M539" s="12">
        <v>30</v>
      </c>
      <c r="N539" s="2">
        <v>179.89999999999998</v>
      </c>
      <c r="O539" s="4">
        <v>3.3799999999999997E-2</v>
      </c>
      <c r="P539" s="2">
        <v>5396.9999999999991</v>
      </c>
      <c r="Q539" s="2">
        <v>468.3</v>
      </c>
      <c r="R539" s="2">
        <v>3117.1</v>
      </c>
      <c r="S539" s="2">
        <v>396.9</v>
      </c>
      <c r="T539" s="2">
        <v>5214.5813999999991</v>
      </c>
      <c r="U539" s="2">
        <v>1232.2813999999996</v>
      </c>
      <c r="V539" s="5">
        <v>0.23631453907306918</v>
      </c>
    </row>
    <row r="540" spans="1:22" x14ac:dyDescent="0.3">
      <c r="A540">
        <f t="shared" si="8"/>
        <v>539</v>
      </c>
      <c r="B540" t="s">
        <v>624</v>
      </c>
      <c r="C540" s="1">
        <v>45807</v>
      </c>
      <c r="D540" t="s">
        <v>30</v>
      </c>
      <c r="E540" s="6" t="s">
        <v>663</v>
      </c>
      <c r="F540" s="6" t="s">
        <v>21</v>
      </c>
      <c r="G540" s="6" t="s">
        <v>65</v>
      </c>
      <c r="H540" t="s">
        <v>15</v>
      </c>
      <c r="I540" s="6" t="s">
        <v>23</v>
      </c>
      <c r="J540" s="6" t="s">
        <v>36</v>
      </c>
      <c r="K540" s="6" t="s">
        <v>46</v>
      </c>
      <c r="L540" s="6" t="s">
        <v>89</v>
      </c>
      <c r="M540" s="12">
        <v>66</v>
      </c>
      <c r="N540" s="2">
        <v>108.85</v>
      </c>
      <c r="O540" s="4">
        <v>0.1216</v>
      </c>
      <c r="P540" s="2">
        <v>7184.0999999999995</v>
      </c>
      <c r="Q540" s="2">
        <v>930.65</v>
      </c>
      <c r="R540" s="2">
        <v>3480.4</v>
      </c>
      <c r="S540" s="2">
        <v>747.25</v>
      </c>
      <c r="T540" s="2">
        <v>6310.5134399999988</v>
      </c>
      <c r="U540" s="2">
        <v>1152.2134399999986</v>
      </c>
      <c r="V540" s="5">
        <v>0.18258632216778845</v>
      </c>
    </row>
    <row r="541" spans="1:22" x14ac:dyDescent="0.3">
      <c r="A541">
        <f t="shared" si="8"/>
        <v>540</v>
      </c>
      <c r="B541" t="s">
        <v>625</v>
      </c>
      <c r="C541" s="1">
        <v>45803</v>
      </c>
      <c r="D541" t="s">
        <v>30</v>
      </c>
      <c r="E541" s="6" t="s">
        <v>664</v>
      </c>
      <c r="F541" s="6" t="s">
        <v>63</v>
      </c>
      <c r="G541" s="6" t="s">
        <v>82</v>
      </c>
      <c r="H541" t="s">
        <v>15</v>
      </c>
      <c r="I541" s="6" t="s">
        <v>23</v>
      </c>
      <c r="J541" s="6" t="s">
        <v>32</v>
      </c>
      <c r="K541" s="6" t="s">
        <v>37</v>
      </c>
      <c r="L541" s="6" t="s">
        <v>60</v>
      </c>
      <c r="M541" s="12">
        <v>65</v>
      </c>
      <c r="N541" s="2">
        <v>159.95000000000002</v>
      </c>
      <c r="O541" s="4">
        <v>7.7699999999999991E-2</v>
      </c>
      <c r="P541" s="2">
        <v>10396.750000000002</v>
      </c>
      <c r="Q541" s="2">
        <v>1171.8</v>
      </c>
      <c r="R541" s="2">
        <v>5834.5</v>
      </c>
      <c r="S541" s="2">
        <v>1017.0999999999999</v>
      </c>
      <c r="T541" s="2">
        <v>9588.9225250000018</v>
      </c>
      <c r="U541" s="2">
        <v>1565.5225250000015</v>
      </c>
      <c r="V541" s="5">
        <v>0.16326365354589212</v>
      </c>
    </row>
    <row r="542" spans="1:22" x14ac:dyDescent="0.3">
      <c r="A542">
        <f t="shared" si="8"/>
        <v>541</v>
      </c>
      <c r="B542" t="s">
        <v>626</v>
      </c>
      <c r="C542" s="1">
        <v>45724</v>
      </c>
      <c r="D542" t="s">
        <v>41</v>
      </c>
      <c r="E542" s="6" t="s">
        <v>663</v>
      </c>
      <c r="F542" s="6" t="s">
        <v>21</v>
      </c>
      <c r="G542" s="6" t="s">
        <v>22</v>
      </c>
      <c r="H542" t="s">
        <v>27</v>
      </c>
      <c r="I542" s="6" t="s">
        <v>28</v>
      </c>
      <c r="J542" s="6" t="s">
        <v>24</v>
      </c>
      <c r="K542" s="6" t="s">
        <v>33</v>
      </c>
      <c r="L542" s="6" t="s">
        <v>79</v>
      </c>
      <c r="M542" s="12">
        <v>128</v>
      </c>
      <c r="N542" s="2">
        <v>70.7</v>
      </c>
      <c r="O542" s="4">
        <v>0.15679999999999999</v>
      </c>
      <c r="P542" s="2">
        <v>9049.6</v>
      </c>
      <c r="Q542" s="2">
        <v>863.8</v>
      </c>
      <c r="R542" s="2">
        <v>4987.5</v>
      </c>
      <c r="S542" s="2">
        <v>462</v>
      </c>
      <c r="T542" s="2">
        <v>7630.6227200000003</v>
      </c>
      <c r="U542" s="2">
        <v>1317.3227200000003</v>
      </c>
      <c r="V542" s="5">
        <v>0.17263633235951684</v>
      </c>
    </row>
    <row r="543" spans="1:22" x14ac:dyDescent="0.3">
      <c r="A543">
        <f t="shared" si="8"/>
        <v>542</v>
      </c>
      <c r="B543" t="s">
        <v>627</v>
      </c>
      <c r="C543" s="1">
        <v>45837</v>
      </c>
      <c r="D543" t="s">
        <v>58</v>
      </c>
      <c r="E543" s="6" t="s">
        <v>662</v>
      </c>
      <c r="F543" s="6" t="s">
        <v>66</v>
      </c>
      <c r="G543" s="6" t="s">
        <v>82</v>
      </c>
      <c r="H543" t="s">
        <v>27</v>
      </c>
      <c r="I543" s="6" t="s">
        <v>16</v>
      </c>
      <c r="J543" s="6" t="s">
        <v>17</v>
      </c>
      <c r="K543" s="6" t="s">
        <v>18</v>
      </c>
      <c r="L543" s="6" t="s">
        <v>29</v>
      </c>
      <c r="M543" s="12">
        <v>272</v>
      </c>
      <c r="N543" s="2">
        <v>162.39999999999998</v>
      </c>
      <c r="O543" s="4">
        <v>0.17449999999999999</v>
      </c>
      <c r="P543" s="2">
        <v>44172.799999999996</v>
      </c>
      <c r="Q543" s="2">
        <v>4795.3499999999995</v>
      </c>
      <c r="R543" s="2">
        <v>20650.7</v>
      </c>
      <c r="S543" s="2">
        <v>2534.35</v>
      </c>
      <c r="T543" s="2">
        <v>36464.646399999998</v>
      </c>
      <c r="U543" s="2">
        <v>8484.2464</v>
      </c>
      <c r="V543" s="5">
        <v>0.23267046955376483</v>
      </c>
    </row>
    <row r="544" spans="1:22" x14ac:dyDescent="0.3">
      <c r="A544">
        <f t="shared" si="8"/>
        <v>543</v>
      </c>
      <c r="B544" t="s">
        <v>628</v>
      </c>
      <c r="C544" s="1">
        <v>45932</v>
      </c>
      <c r="D544" t="s">
        <v>20</v>
      </c>
      <c r="E544" s="6" t="s">
        <v>662</v>
      </c>
      <c r="F544" s="6" t="s">
        <v>42</v>
      </c>
      <c r="G544" s="6" t="s">
        <v>65</v>
      </c>
      <c r="H544" t="s">
        <v>27</v>
      </c>
      <c r="I544" s="6" t="s">
        <v>16</v>
      </c>
      <c r="J544" s="6" t="s">
        <v>32</v>
      </c>
      <c r="K544" s="6" t="s">
        <v>37</v>
      </c>
      <c r="L544" s="6" t="s">
        <v>60</v>
      </c>
      <c r="M544" s="12">
        <v>93</v>
      </c>
      <c r="N544" s="2">
        <v>152.95000000000002</v>
      </c>
      <c r="O544" s="4">
        <v>9.3699999999999992E-2</v>
      </c>
      <c r="P544" s="2">
        <v>14224.350000000002</v>
      </c>
      <c r="Q544" s="2">
        <v>1299.1999999999998</v>
      </c>
      <c r="R544" s="2">
        <v>8132.95</v>
      </c>
      <c r="S544" s="2">
        <v>975.45</v>
      </c>
      <c r="T544" s="2">
        <v>12891.528405000003</v>
      </c>
      <c r="U544" s="2">
        <v>2483.9284050000024</v>
      </c>
      <c r="V544" s="5">
        <v>0.19267912438036489</v>
      </c>
    </row>
    <row r="545" spans="1:22" x14ac:dyDescent="0.3">
      <c r="A545">
        <f t="shared" si="8"/>
        <v>544</v>
      </c>
      <c r="B545" t="s">
        <v>629</v>
      </c>
      <c r="C545" s="1">
        <v>45681</v>
      </c>
      <c r="D545" t="s">
        <v>44</v>
      </c>
      <c r="E545" s="6" t="s">
        <v>662</v>
      </c>
      <c r="F545" s="6" t="s">
        <v>42</v>
      </c>
      <c r="G545" s="6" t="s">
        <v>82</v>
      </c>
      <c r="H545" t="s">
        <v>27</v>
      </c>
      <c r="I545" s="6" t="s">
        <v>28</v>
      </c>
      <c r="J545" s="6" t="s">
        <v>84</v>
      </c>
      <c r="K545" s="6" t="s">
        <v>33</v>
      </c>
      <c r="L545" s="6" t="s">
        <v>34</v>
      </c>
      <c r="M545" s="12">
        <v>322</v>
      </c>
      <c r="N545" s="2">
        <v>99.399999999999991</v>
      </c>
      <c r="O545" s="4">
        <v>0.20430000000000001</v>
      </c>
      <c r="P545" s="2">
        <v>32006.799999999996</v>
      </c>
      <c r="Q545" s="2">
        <v>3899.35</v>
      </c>
      <c r="R545" s="2">
        <v>14256.55</v>
      </c>
      <c r="S545" s="2">
        <v>1240.75</v>
      </c>
      <c r="T545" s="2">
        <v>25467.810759999997</v>
      </c>
      <c r="U545" s="2">
        <v>6071.160759999997</v>
      </c>
      <c r="V545" s="5">
        <v>0.23838565541469406</v>
      </c>
    </row>
    <row r="546" spans="1:22" x14ac:dyDescent="0.3">
      <c r="A546">
        <f t="shared" si="8"/>
        <v>545</v>
      </c>
      <c r="B546" t="s">
        <v>630</v>
      </c>
      <c r="C546" s="1">
        <v>45718</v>
      </c>
      <c r="D546" t="s">
        <v>41</v>
      </c>
      <c r="E546" s="6" t="s">
        <v>664</v>
      </c>
      <c r="F546" s="6" t="s">
        <v>63</v>
      </c>
      <c r="G546" s="6" t="s">
        <v>43</v>
      </c>
      <c r="H546" t="s">
        <v>15</v>
      </c>
      <c r="I546" s="6" t="s">
        <v>16</v>
      </c>
      <c r="J546" s="6" t="s">
        <v>52</v>
      </c>
      <c r="K546" s="6" t="s">
        <v>37</v>
      </c>
      <c r="L546" s="6" t="s">
        <v>90</v>
      </c>
      <c r="M546" s="12">
        <v>165</v>
      </c>
      <c r="N546" s="2">
        <v>144.89999999999998</v>
      </c>
      <c r="O546" s="4">
        <v>8.5299999999999987E-2</v>
      </c>
      <c r="P546" s="2">
        <v>23908.499999999996</v>
      </c>
      <c r="Q546" s="2">
        <v>3704.75</v>
      </c>
      <c r="R546" s="2">
        <v>12552.75</v>
      </c>
      <c r="S546" s="2">
        <v>1448.65</v>
      </c>
      <c r="T546" s="2">
        <v>21869.104949999997</v>
      </c>
      <c r="U546" s="2">
        <v>4162.9549499999957</v>
      </c>
      <c r="V546" s="5">
        <v>0.19035781114580988</v>
      </c>
    </row>
    <row r="547" spans="1:22" x14ac:dyDescent="0.3">
      <c r="A547">
        <f t="shared" si="8"/>
        <v>546</v>
      </c>
      <c r="B547" t="s">
        <v>631</v>
      </c>
      <c r="C547" s="1">
        <v>45994</v>
      </c>
      <c r="D547" t="s">
        <v>50</v>
      </c>
      <c r="E547" s="6" t="s">
        <v>663</v>
      </c>
      <c r="F547" s="6" t="s">
        <v>21</v>
      </c>
      <c r="G547" s="6" t="s">
        <v>68</v>
      </c>
      <c r="H547" t="s">
        <v>27</v>
      </c>
      <c r="I547" s="6" t="s">
        <v>31</v>
      </c>
      <c r="J547" s="6" t="s">
        <v>36</v>
      </c>
      <c r="K547" s="6" t="s">
        <v>48</v>
      </c>
      <c r="L547" s="6" t="s">
        <v>56</v>
      </c>
      <c r="M547" s="12">
        <v>401</v>
      </c>
      <c r="N547" s="2">
        <v>117.95</v>
      </c>
      <c r="O547" s="4">
        <v>0.1946</v>
      </c>
      <c r="P547" s="2">
        <v>47297.950000000004</v>
      </c>
      <c r="Q547" s="2">
        <v>1804.95</v>
      </c>
      <c r="R547" s="2">
        <v>25183.200000000001</v>
      </c>
      <c r="S547" s="2">
        <v>1971.55</v>
      </c>
      <c r="T547" s="2">
        <v>38093.768930000006</v>
      </c>
      <c r="U547" s="2">
        <v>9134.0689300000013</v>
      </c>
      <c r="V547" s="5">
        <v>0.23977855661340569</v>
      </c>
    </row>
    <row r="548" spans="1:22" x14ac:dyDescent="0.3">
      <c r="A548">
        <f t="shared" si="8"/>
        <v>547</v>
      </c>
      <c r="B548" t="s">
        <v>632</v>
      </c>
      <c r="C548" s="1">
        <v>45937</v>
      </c>
      <c r="D548" t="s">
        <v>20</v>
      </c>
      <c r="E548" s="6" t="s">
        <v>662</v>
      </c>
      <c r="F548" s="6" t="s">
        <v>42</v>
      </c>
      <c r="G548" s="6" t="s">
        <v>39</v>
      </c>
      <c r="H548" t="s">
        <v>27</v>
      </c>
      <c r="I548" s="6" t="s">
        <v>31</v>
      </c>
      <c r="J548" s="6" t="s">
        <v>24</v>
      </c>
      <c r="K548" s="6" t="s">
        <v>37</v>
      </c>
      <c r="L548" s="6" t="s">
        <v>90</v>
      </c>
      <c r="M548" s="12">
        <v>841</v>
      </c>
      <c r="N548" s="2">
        <v>144.89999999999998</v>
      </c>
      <c r="O548" s="4">
        <v>0.19020000000000001</v>
      </c>
      <c r="P548" s="2">
        <v>121860.89999999998</v>
      </c>
      <c r="Q548" s="2">
        <v>8605.1</v>
      </c>
      <c r="R548" s="2">
        <v>54758.549999999996</v>
      </c>
      <c r="S548" s="2">
        <v>4130.7</v>
      </c>
      <c r="T548" s="2">
        <v>98682.956819999978</v>
      </c>
      <c r="U548" s="2">
        <v>31188.606819999986</v>
      </c>
      <c r="V548" s="5">
        <v>0.31604856426108852</v>
      </c>
    </row>
    <row r="549" spans="1:22" x14ac:dyDescent="0.3">
      <c r="A549">
        <f t="shared" si="8"/>
        <v>548</v>
      </c>
      <c r="B549" t="s">
        <v>633</v>
      </c>
      <c r="C549" s="1">
        <v>45893</v>
      </c>
      <c r="D549" t="s">
        <v>35</v>
      </c>
      <c r="E549" s="6" t="s">
        <v>662</v>
      </c>
      <c r="F549" s="6" t="s">
        <v>66</v>
      </c>
      <c r="G549" s="6" t="s">
        <v>65</v>
      </c>
      <c r="H549" t="s">
        <v>27</v>
      </c>
      <c r="I549" s="6" t="s">
        <v>31</v>
      </c>
      <c r="J549" s="6" t="s">
        <v>84</v>
      </c>
      <c r="K549" s="6" t="s">
        <v>48</v>
      </c>
      <c r="L549" s="6" t="s">
        <v>74</v>
      </c>
      <c r="M549" s="12">
        <v>473</v>
      </c>
      <c r="N549" s="2">
        <v>137.9</v>
      </c>
      <c r="O549" s="4">
        <v>0.2455</v>
      </c>
      <c r="P549" s="2">
        <v>65226.700000000004</v>
      </c>
      <c r="Q549" s="2">
        <v>4919.6000000000004</v>
      </c>
      <c r="R549" s="2">
        <v>31736.25</v>
      </c>
      <c r="S549" s="2">
        <v>2520.6999999999998</v>
      </c>
      <c r="T549" s="2">
        <v>49213.545149999998</v>
      </c>
      <c r="U549" s="2">
        <v>10036.995150000001</v>
      </c>
      <c r="V549" s="5">
        <v>0.20394781801245629</v>
      </c>
    </row>
    <row r="550" spans="1:22" x14ac:dyDescent="0.3">
      <c r="A550">
        <f t="shared" si="8"/>
        <v>549</v>
      </c>
      <c r="B550" t="s">
        <v>634</v>
      </c>
      <c r="C550" s="1">
        <v>45922</v>
      </c>
      <c r="D550" t="s">
        <v>14</v>
      </c>
      <c r="E550" s="6" t="s">
        <v>662</v>
      </c>
      <c r="F550" s="6" t="s">
        <v>42</v>
      </c>
      <c r="G550" s="6" t="s">
        <v>68</v>
      </c>
      <c r="H550" t="s">
        <v>27</v>
      </c>
      <c r="I550" s="6" t="s">
        <v>16</v>
      </c>
      <c r="J550" s="6" t="s">
        <v>84</v>
      </c>
      <c r="K550" s="6" t="s">
        <v>46</v>
      </c>
      <c r="L550" s="6" t="s">
        <v>83</v>
      </c>
      <c r="M550" s="12">
        <v>91</v>
      </c>
      <c r="N550" s="2">
        <v>143.5</v>
      </c>
      <c r="O550" s="4">
        <v>0.16600000000000001</v>
      </c>
      <c r="P550" s="2">
        <v>13058.5</v>
      </c>
      <c r="Q550" s="2">
        <v>1723.4</v>
      </c>
      <c r="R550" s="2">
        <v>6471.15</v>
      </c>
      <c r="S550" s="2">
        <v>825.3</v>
      </c>
      <c r="T550" s="2">
        <v>10890.788999999999</v>
      </c>
      <c r="U550" s="2">
        <v>1870.9389999999999</v>
      </c>
      <c r="V550" s="5">
        <v>0.17179095105047026</v>
      </c>
    </row>
    <row r="551" spans="1:22" x14ac:dyDescent="0.3">
      <c r="A551">
        <f t="shared" si="8"/>
        <v>550</v>
      </c>
      <c r="B551" t="s">
        <v>635</v>
      </c>
      <c r="C551" s="1">
        <v>45680</v>
      </c>
      <c r="D551" t="s">
        <v>44</v>
      </c>
      <c r="E551" s="6" t="s">
        <v>664</v>
      </c>
      <c r="F551" s="6" t="s">
        <v>63</v>
      </c>
      <c r="G551" s="6" t="s">
        <v>65</v>
      </c>
      <c r="H551" t="s">
        <v>27</v>
      </c>
      <c r="I551" s="6" t="s">
        <v>28</v>
      </c>
      <c r="J551" s="6" t="s">
        <v>32</v>
      </c>
      <c r="K551" s="6" t="s">
        <v>46</v>
      </c>
      <c r="L551" s="6" t="s">
        <v>76</v>
      </c>
      <c r="M551" s="12">
        <v>297</v>
      </c>
      <c r="N551" s="2">
        <v>301.34999999999997</v>
      </c>
      <c r="O551" s="4">
        <v>0.14699999999999999</v>
      </c>
      <c r="P551" s="2">
        <v>89500.95</v>
      </c>
      <c r="Q551" s="2">
        <v>9307.5500000000011</v>
      </c>
      <c r="R551" s="2">
        <v>40385.1</v>
      </c>
      <c r="S551" s="2">
        <v>4534.6000000000004</v>
      </c>
      <c r="T551" s="2">
        <v>76344.31035</v>
      </c>
      <c r="U551" s="2">
        <v>22117.060349999992</v>
      </c>
      <c r="V551" s="5">
        <v>0.28970148854059291</v>
      </c>
    </row>
    <row r="552" spans="1:22" x14ac:dyDescent="0.3">
      <c r="A552">
        <f t="shared" si="8"/>
        <v>551</v>
      </c>
      <c r="B552" t="s">
        <v>636</v>
      </c>
      <c r="C552" s="1">
        <v>46019</v>
      </c>
      <c r="D552" t="s">
        <v>50</v>
      </c>
      <c r="E552" s="6" t="s">
        <v>662</v>
      </c>
      <c r="F552" s="6" t="s">
        <v>66</v>
      </c>
      <c r="G552" s="6" t="s">
        <v>43</v>
      </c>
      <c r="H552" t="s">
        <v>15</v>
      </c>
      <c r="I552" s="6" t="s">
        <v>23</v>
      </c>
      <c r="J552" s="6" t="s">
        <v>17</v>
      </c>
      <c r="K552" s="6" t="s">
        <v>37</v>
      </c>
      <c r="L552" s="6" t="s">
        <v>72</v>
      </c>
      <c r="M552" s="12">
        <v>41</v>
      </c>
      <c r="N552" s="2">
        <v>58.8</v>
      </c>
      <c r="O552" s="4">
        <v>6.1900000000000004E-2</v>
      </c>
      <c r="P552" s="2">
        <v>2410.7999999999997</v>
      </c>
      <c r="Q552" s="2">
        <v>417.9</v>
      </c>
      <c r="R552" s="2">
        <v>1215.9000000000001</v>
      </c>
      <c r="S552" s="2">
        <v>227.15</v>
      </c>
      <c r="T552" s="2">
        <v>2261.5714800000001</v>
      </c>
      <c r="U552" s="2">
        <v>400.62147999999991</v>
      </c>
      <c r="V552" s="5">
        <v>0.17714296609364738</v>
      </c>
    </row>
    <row r="553" spans="1:22" x14ac:dyDescent="0.3">
      <c r="A553">
        <f t="shared" si="8"/>
        <v>552</v>
      </c>
      <c r="B553" t="s">
        <v>637</v>
      </c>
      <c r="C553" s="1">
        <v>45962</v>
      </c>
      <c r="D553" t="s">
        <v>67</v>
      </c>
      <c r="E553" s="6" t="s">
        <v>662</v>
      </c>
      <c r="F553" s="6" t="s">
        <v>66</v>
      </c>
      <c r="G553" s="6" t="s">
        <v>65</v>
      </c>
      <c r="H553" t="s">
        <v>27</v>
      </c>
      <c r="I553" s="6" t="s">
        <v>28</v>
      </c>
      <c r="J553" s="6" t="s">
        <v>17</v>
      </c>
      <c r="K553" s="6" t="s">
        <v>48</v>
      </c>
      <c r="L553" s="6" t="s">
        <v>57</v>
      </c>
      <c r="M553" s="12">
        <v>119</v>
      </c>
      <c r="N553" s="2">
        <v>80.850000000000009</v>
      </c>
      <c r="O553" s="4">
        <v>0.21920000000000001</v>
      </c>
      <c r="P553" s="2">
        <v>9621.1500000000015</v>
      </c>
      <c r="Q553" s="2">
        <v>717.85</v>
      </c>
      <c r="R553" s="2">
        <v>5141.8499999999995</v>
      </c>
      <c r="S553" s="2">
        <v>529.9</v>
      </c>
      <c r="T553" s="2">
        <v>7512.1939200000006</v>
      </c>
      <c r="U553" s="2">
        <v>1122.5939200000016</v>
      </c>
      <c r="V553" s="5">
        <v>0.14943622754616023</v>
      </c>
    </row>
    <row r="554" spans="1:22" x14ac:dyDescent="0.3">
      <c r="A554">
        <f t="shared" si="8"/>
        <v>553</v>
      </c>
      <c r="B554" t="s">
        <v>638</v>
      </c>
      <c r="C554" s="1">
        <v>45915</v>
      </c>
      <c r="D554" t="s">
        <v>14</v>
      </c>
      <c r="E554" s="6" t="s">
        <v>663</v>
      </c>
      <c r="F554" s="6" t="s">
        <v>21</v>
      </c>
      <c r="G554" s="6" t="s">
        <v>39</v>
      </c>
      <c r="H554" t="s">
        <v>27</v>
      </c>
      <c r="I554" s="6" t="s">
        <v>28</v>
      </c>
      <c r="J554" s="6" t="s">
        <v>24</v>
      </c>
      <c r="K554" s="6" t="s">
        <v>48</v>
      </c>
      <c r="L554" s="6" t="s">
        <v>56</v>
      </c>
      <c r="M554" s="12">
        <v>288</v>
      </c>
      <c r="N554" s="2">
        <v>125.64999999999999</v>
      </c>
      <c r="O554" s="4">
        <v>0.2014</v>
      </c>
      <c r="P554" s="2">
        <v>36187.199999999997</v>
      </c>
      <c r="Q554" s="2">
        <v>3159.45</v>
      </c>
      <c r="R554" s="2">
        <v>16036.300000000001</v>
      </c>
      <c r="S554" s="2">
        <v>1992.55</v>
      </c>
      <c r="T554" s="2">
        <v>28899.097919999997</v>
      </c>
      <c r="U554" s="2">
        <v>7710.7979199999963</v>
      </c>
      <c r="V554" s="5">
        <v>0.26681794502186307</v>
      </c>
    </row>
    <row r="555" spans="1:22" x14ac:dyDescent="0.3">
      <c r="A555">
        <f t="shared" si="8"/>
        <v>554</v>
      </c>
      <c r="B555" t="s">
        <v>639</v>
      </c>
      <c r="C555" s="1">
        <v>45716</v>
      </c>
      <c r="D555" t="s">
        <v>55</v>
      </c>
      <c r="E555" s="6" t="s">
        <v>664</v>
      </c>
      <c r="F555" s="6" t="s">
        <v>63</v>
      </c>
      <c r="G555" s="6" t="s">
        <v>69</v>
      </c>
      <c r="H555" t="s">
        <v>27</v>
      </c>
      <c r="I555" s="6" t="s">
        <v>31</v>
      </c>
      <c r="J555" s="6" t="s">
        <v>45</v>
      </c>
      <c r="K555" s="6" t="s">
        <v>46</v>
      </c>
      <c r="L555" s="6" t="s">
        <v>83</v>
      </c>
      <c r="M555" s="12">
        <v>299</v>
      </c>
      <c r="N555" s="2">
        <v>131.6</v>
      </c>
      <c r="O555" s="4">
        <v>0.27129999999999999</v>
      </c>
      <c r="P555" s="2">
        <v>39348.400000000001</v>
      </c>
      <c r="Q555" s="2">
        <v>3183.95</v>
      </c>
      <c r="R555" s="2">
        <v>16450</v>
      </c>
      <c r="S555" s="2">
        <v>1567.3</v>
      </c>
      <c r="T555" s="2">
        <v>28673.179080000002</v>
      </c>
      <c r="U555" s="2">
        <v>7471.9290800000026</v>
      </c>
      <c r="V555" s="5">
        <v>0.26058948884436017</v>
      </c>
    </row>
    <row r="556" spans="1:22" x14ac:dyDescent="0.3">
      <c r="A556">
        <f t="shared" si="8"/>
        <v>555</v>
      </c>
      <c r="B556" t="s">
        <v>640</v>
      </c>
      <c r="C556" s="1">
        <v>45997</v>
      </c>
      <c r="D556" t="s">
        <v>50</v>
      </c>
      <c r="E556" s="6" t="s">
        <v>663</v>
      </c>
      <c r="F556" s="6" t="s">
        <v>21</v>
      </c>
      <c r="G556" s="6" t="s">
        <v>43</v>
      </c>
      <c r="H556" t="s">
        <v>27</v>
      </c>
      <c r="I556" s="6" t="s">
        <v>28</v>
      </c>
      <c r="J556" s="6" t="s">
        <v>24</v>
      </c>
      <c r="K556" s="6" t="s">
        <v>46</v>
      </c>
      <c r="L556" s="6" t="s">
        <v>83</v>
      </c>
      <c r="M556" s="12">
        <v>528</v>
      </c>
      <c r="N556" s="2">
        <v>120.05000000000001</v>
      </c>
      <c r="O556" s="4">
        <v>0.17809999999999998</v>
      </c>
      <c r="P556" s="2">
        <v>63386.400000000009</v>
      </c>
      <c r="Q556" s="2">
        <v>4047.4</v>
      </c>
      <c r="R556" s="2">
        <v>29163.4</v>
      </c>
      <c r="S556" s="2">
        <v>3490.2</v>
      </c>
      <c r="T556" s="2">
        <v>52097.28216000001</v>
      </c>
      <c r="U556" s="2">
        <v>15396.282160000012</v>
      </c>
      <c r="V556" s="5">
        <v>0.29552946951657272</v>
      </c>
    </row>
    <row r="557" spans="1:22" x14ac:dyDescent="0.3">
      <c r="A557">
        <f t="shared" si="8"/>
        <v>556</v>
      </c>
      <c r="B557" t="s">
        <v>641</v>
      </c>
      <c r="C557" s="1">
        <v>45881</v>
      </c>
      <c r="D557" t="s">
        <v>35</v>
      </c>
      <c r="E557" s="6" t="s">
        <v>664</v>
      </c>
      <c r="F557" s="6" t="s">
        <v>63</v>
      </c>
      <c r="G557" s="6" t="s">
        <v>64</v>
      </c>
      <c r="H557" t="s">
        <v>15</v>
      </c>
      <c r="I557" s="6" t="s">
        <v>23</v>
      </c>
      <c r="J557" s="6" t="s">
        <v>24</v>
      </c>
      <c r="K557" s="6" t="s">
        <v>33</v>
      </c>
      <c r="L557" s="6" t="s">
        <v>53</v>
      </c>
      <c r="M557" s="12">
        <v>12</v>
      </c>
      <c r="N557" s="2">
        <v>72.100000000000009</v>
      </c>
      <c r="O557" s="4">
        <v>0.12269999999999999</v>
      </c>
      <c r="P557" s="2">
        <v>865.2</v>
      </c>
      <c r="Q557" s="2">
        <v>154</v>
      </c>
      <c r="R557" s="2">
        <v>476</v>
      </c>
      <c r="S557" s="2">
        <v>67.2</v>
      </c>
      <c r="T557" s="2">
        <v>759.03996000000006</v>
      </c>
      <c r="U557" s="2">
        <v>61.839960000000019</v>
      </c>
      <c r="V557" s="5">
        <v>8.1471283804346761E-2</v>
      </c>
    </row>
    <row r="558" spans="1:22" x14ac:dyDescent="0.3">
      <c r="A558">
        <f t="shared" si="8"/>
        <v>557</v>
      </c>
      <c r="B558" t="s">
        <v>642</v>
      </c>
      <c r="C558" s="1">
        <v>45798</v>
      </c>
      <c r="D558" t="s">
        <v>30</v>
      </c>
      <c r="E558" s="6" t="s">
        <v>662</v>
      </c>
      <c r="F558" s="6" t="s">
        <v>66</v>
      </c>
      <c r="G558" s="6" t="s">
        <v>43</v>
      </c>
      <c r="H558" t="s">
        <v>15</v>
      </c>
      <c r="I558" s="6" t="s">
        <v>16</v>
      </c>
      <c r="J558" s="6" t="s">
        <v>45</v>
      </c>
      <c r="K558" s="6" t="s">
        <v>18</v>
      </c>
      <c r="L558" s="6" t="s">
        <v>29</v>
      </c>
      <c r="M558" s="12">
        <v>31</v>
      </c>
      <c r="N558" s="2">
        <v>165.2</v>
      </c>
      <c r="O558" s="4">
        <v>0.20929999999999999</v>
      </c>
      <c r="P558" s="2">
        <v>5121.2</v>
      </c>
      <c r="Q558" s="2">
        <v>673.4</v>
      </c>
      <c r="R558" s="2">
        <v>2368.4500000000003</v>
      </c>
      <c r="S558" s="2">
        <v>289.09999999999997</v>
      </c>
      <c r="T558" s="2">
        <v>4049.3328399999996</v>
      </c>
      <c r="U558" s="2">
        <v>718.38283999999942</v>
      </c>
      <c r="V558" s="5">
        <v>0.17740770353666444</v>
      </c>
    </row>
    <row r="559" spans="1:22" x14ac:dyDescent="0.3">
      <c r="A559">
        <f t="shared" si="8"/>
        <v>558</v>
      </c>
      <c r="B559" t="s">
        <v>643</v>
      </c>
      <c r="C559" s="1">
        <v>46017</v>
      </c>
      <c r="D559" t="s">
        <v>50</v>
      </c>
      <c r="E559" s="6" t="s">
        <v>662</v>
      </c>
      <c r="F559" s="6" t="s">
        <v>66</v>
      </c>
      <c r="G559" s="6" t="s">
        <v>69</v>
      </c>
      <c r="H559" t="s">
        <v>15</v>
      </c>
      <c r="I559" s="6" t="s">
        <v>16</v>
      </c>
      <c r="J559" s="6" t="s">
        <v>52</v>
      </c>
      <c r="K559" s="6" t="s">
        <v>37</v>
      </c>
      <c r="L559" s="6" t="s">
        <v>38</v>
      </c>
      <c r="M559" s="12">
        <v>101</v>
      </c>
      <c r="N559" s="2">
        <v>79.099999999999994</v>
      </c>
      <c r="O559" s="4">
        <v>0.19329999999999997</v>
      </c>
      <c r="P559" s="2">
        <v>7989.0999999999995</v>
      </c>
      <c r="Q559" s="2">
        <v>901.94999999999993</v>
      </c>
      <c r="R559" s="2">
        <v>3521.35</v>
      </c>
      <c r="S559" s="2">
        <v>410.20000000000005</v>
      </c>
      <c r="T559" s="2">
        <v>6444.8069699999996</v>
      </c>
      <c r="U559" s="2">
        <v>1611.3069700000001</v>
      </c>
      <c r="V559" s="5">
        <v>0.25001632748668656</v>
      </c>
    </row>
    <row r="560" spans="1:22" x14ac:dyDescent="0.3">
      <c r="A560">
        <f t="shared" si="8"/>
        <v>559</v>
      </c>
      <c r="B560" t="s">
        <v>644</v>
      </c>
      <c r="C560" s="1">
        <v>45796</v>
      </c>
      <c r="D560" t="s">
        <v>30</v>
      </c>
      <c r="E560" s="6" t="s">
        <v>662</v>
      </c>
      <c r="F560" s="6" t="s">
        <v>66</v>
      </c>
      <c r="G560" s="6" t="s">
        <v>64</v>
      </c>
      <c r="H560" t="s">
        <v>15</v>
      </c>
      <c r="I560" s="6" t="s">
        <v>16</v>
      </c>
      <c r="J560" s="6" t="s">
        <v>52</v>
      </c>
      <c r="K560" s="6" t="s">
        <v>18</v>
      </c>
      <c r="L560" s="6" t="s">
        <v>59</v>
      </c>
      <c r="M560" s="12">
        <v>74</v>
      </c>
      <c r="N560" s="2">
        <v>191.8</v>
      </c>
      <c r="O560" s="4">
        <v>0.17379999999999998</v>
      </c>
      <c r="P560" s="2">
        <v>14193.2</v>
      </c>
      <c r="Q560" s="2">
        <v>1576.05</v>
      </c>
      <c r="R560" s="2">
        <v>6441.75</v>
      </c>
      <c r="S560" s="2">
        <v>886.55</v>
      </c>
      <c r="T560" s="2">
        <v>11726.421840000001</v>
      </c>
      <c r="U560" s="2">
        <v>2822.0718400000014</v>
      </c>
      <c r="V560" s="5">
        <v>0.24065924614562573</v>
      </c>
    </row>
    <row r="561" spans="1:22" x14ac:dyDescent="0.3">
      <c r="A561">
        <f t="shared" si="8"/>
        <v>560</v>
      </c>
      <c r="B561" t="s">
        <v>645</v>
      </c>
      <c r="C561" s="1">
        <v>45719</v>
      </c>
      <c r="D561" t="s">
        <v>41</v>
      </c>
      <c r="E561" s="6" t="s">
        <v>662</v>
      </c>
      <c r="F561" s="6" t="s">
        <v>66</v>
      </c>
      <c r="G561" s="6" t="s">
        <v>65</v>
      </c>
      <c r="H561" t="s">
        <v>27</v>
      </c>
      <c r="I561" s="6" t="s">
        <v>28</v>
      </c>
      <c r="J561" s="6" t="s">
        <v>17</v>
      </c>
      <c r="K561" s="6" t="s">
        <v>48</v>
      </c>
      <c r="L561" s="6" t="s">
        <v>56</v>
      </c>
      <c r="M561" s="12">
        <v>128</v>
      </c>
      <c r="N561" s="2">
        <v>127.4</v>
      </c>
      <c r="O561" s="4">
        <v>0.1573</v>
      </c>
      <c r="P561" s="2">
        <v>16307.2</v>
      </c>
      <c r="Q561" s="2">
        <v>1622.25</v>
      </c>
      <c r="R561" s="2">
        <v>8688.75</v>
      </c>
      <c r="S561" s="2">
        <v>915.6</v>
      </c>
      <c r="T561" s="2">
        <v>13742.077440000001</v>
      </c>
      <c r="U561" s="2">
        <v>2515.4774400000006</v>
      </c>
      <c r="V561" s="5">
        <v>0.18304928428637937</v>
      </c>
    </row>
    <row r="562" spans="1:22" x14ac:dyDescent="0.3">
      <c r="A562">
        <f t="shared" si="8"/>
        <v>561</v>
      </c>
      <c r="B562" t="s">
        <v>646</v>
      </c>
      <c r="C562" s="1">
        <v>45966</v>
      </c>
      <c r="D562" t="s">
        <v>67</v>
      </c>
      <c r="E562" s="6" t="s">
        <v>663</v>
      </c>
      <c r="F562" s="6" t="s">
        <v>21</v>
      </c>
      <c r="G562" s="6" t="s">
        <v>65</v>
      </c>
      <c r="H562" t="s">
        <v>15</v>
      </c>
      <c r="I562" s="6" t="s">
        <v>23</v>
      </c>
      <c r="J562" s="6" t="s">
        <v>17</v>
      </c>
      <c r="K562" s="6" t="s">
        <v>48</v>
      </c>
      <c r="L562" s="6" t="s">
        <v>74</v>
      </c>
      <c r="M562" s="12">
        <v>84</v>
      </c>
      <c r="N562" s="2">
        <v>141.05000000000001</v>
      </c>
      <c r="O562" s="4">
        <v>6.7299999999999999E-2</v>
      </c>
      <c r="P562" s="2">
        <v>11848.2</v>
      </c>
      <c r="Q562" s="2">
        <v>2156.35</v>
      </c>
      <c r="R562" s="2">
        <v>7043.75</v>
      </c>
      <c r="S562" s="2">
        <v>1141.6999999999998</v>
      </c>
      <c r="T562" s="2">
        <v>11050.816140000001</v>
      </c>
      <c r="U562" s="2">
        <v>709.016140000002</v>
      </c>
      <c r="V562" s="5">
        <v>6.4159617807196812E-2</v>
      </c>
    </row>
    <row r="563" spans="1:22" x14ac:dyDescent="0.3">
      <c r="A563">
        <f t="shared" si="8"/>
        <v>562</v>
      </c>
      <c r="B563" t="s">
        <v>647</v>
      </c>
      <c r="C563" s="1">
        <v>45789</v>
      </c>
      <c r="D563" t="s">
        <v>30</v>
      </c>
      <c r="E563" s="6" t="s">
        <v>663</v>
      </c>
      <c r="F563" s="6" t="s">
        <v>21</v>
      </c>
      <c r="G563" s="6" t="s">
        <v>82</v>
      </c>
      <c r="H563" t="s">
        <v>27</v>
      </c>
      <c r="I563" s="6" t="s">
        <v>31</v>
      </c>
      <c r="J563" s="6" t="s">
        <v>32</v>
      </c>
      <c r="K563" s="6" t="s">
        <v>33</v>
      </c>
      <c r="L563" s="6" t="s">
        <v>53</v>
      </c>
      <c r="M563" s="12">
        <v>756</v>
      </c>
      <c r="N563" s="2">
        <v>65.45</v>
      </c>
      <c r="O563" s="4">
        <v>0.20469999999999999</v>
      </c>
      <c r="P563" s="2">
        <v>49480.200000000004</v>
      </c>
      <c r="Q563" s="2">
        <v>4843.3</v>
      </c>
      <c r="R563" s="2">
        <v>24012.800000000003</v>
      </c>
      <c r="S563" s="2">
        <v>1997.45</v>
      </c>
      <c r="T563" s="2">
        <v>39351.603060000001</v>
      </c>
      <c r="U563" s="2">
        <v>8498.053060000002</v>
      </c>
      <c r="V563" s="5">
        <v>0.21595189011850136</v>
      </c>
    </row>
    <row r="564" spans="1:22" x14ac:dyDescent="0.3">
      <c r="A564">
        <f t="shared" si="8"/>
        <v>563</v>
      </c>
      <c r="B564" t="s">
        <v>648</v>
      </c>
      <c r="C564" s="1">
        <v>45970</v>
      </c>
      <c r="D564" t="s">
        <v>67</v>
      </c>
      <c r="E564" s="6" t="s">
        <v>662</v>
      </c>
      <c r="F564" s="6" t="s">
        <v>66</v>
      </c>
      <c r="G564" s="6" t="s">
        <v>39</v>
      </c>
      <c r="H564" t="s">
        <v>27</v>
      </c>
      <c r="I564" s="6" t="s">
        <v>16</v>
      </c>
      <c r="J564" s="6" t="s">
        <v>24</v>
      </c>
      <c r="K564" s="6" t="s">
        <v>48</v>
      </c>
      <c r="L564" s="6" t="s">
        <v>57</v>
      </c>
      <c r="M564" s="12">
        <v>199</v>
      </c>
      <c r="N564" s="2">
        <v>77.7</v>
      </c>
      <c r="O564" s="4">
        <v>0.19570000000000001</v>
      </c>
      <c r="P564" s="2">
        <v>15462.300000000001</v>
      </c>
      <c r="Q564" s="2">
        <v>1574.65</v>
      </c>
      <c r="R564" s="2">
        <v>9004.7999999999993</v>
      </c>
      <c r="S564" s="2">
        <v>953.4</v>
      </c>
      <c r="T564" s="2">
        <v>12436.32789</v>
      </c>
      <c r="U564" s="2">
        <v>903.47789000000148</v>
      </c>
      <c r="V564" s="5">
        <v>7.2648284766316296E-2</v>
      </c>
    </row>
    <row r="565" spans="1:22" x14ac:dyDescent="0.3">
      <c r="A565">
        <f t="shared" si="8"/>
        <v>564</v>
      </c>
      <c r="B565" t="s">
        <v>649</v>
      </c>
      <c r="C565" s="1">
        <v>45797</v>
      </c>
      <c r="D565" t="s">
        <v>30</v>
      </c>
      <c r="E565" s="6" t="s">
        <v>662</v>
      </c>
      <c r="F565" s="6" t="s">
        <v>66</v>
      </c>
      <c r="G565" s="6" t="s">
        <v>43</v>
      </c>
      <c r="H565" t="s">
        <v>15</v>
      </c>
      <c r="I565" s="6" t="s">
        <v>23</v>
      </c>
      <c r="J565" s="6" t="s">
        <v>17</v>
      </c>
      <c r="K565" s="6" t="s">
        <v>33</v>
      </c>
      <c r="L565" s="6" t="s">
        <v>70</v>
      </c>
      <c r="M565" s="12">
        <v>107</v>
      </c>
      <c r="N565" s="2">
        <v>106.4</v>
      </c>
      <c r="O565" s="4">
        <v>7.5300000000000006E-2</v>
      </c>
      <c r="P565" s="2">
        <v>11384.800000000001</v>
      </c>
      <c r="Q565" s="2">
        <v>1817.8999999999999</v>
      </c>
      <c r="R565" s="2">
        <v>6235.5999999999995</v>
      </c>
      <c r="S565" s="2">
        <v>957.6</v>
      </c>
      <c r="T565" s="2">
        <v>10527.52456</v>
      </c>
      <c r="U565" s="2">
        <v>1516.4245600000002</v>
      </c>
      <c r="V565" s="5">
        <v>0.14404379219040267</v>
      </c>
    </row>
    <row r="566" spans="1:22" x14ac:dyDescent="0.3">
      <c r="A566">
        <f t="shared" si="8"/>
        <v>565</v>
      </c>
      <c r="B566" t="s">
        <v>650</v>
      </c>
      <c r="C566" s="1">
        <v>45948</v>
      </c>
      <c r="D566" t="s">
        <v>20</v>
      </c>
      <c r="E566" s="6" t="s">
        <v>664</v>
      </c>
      <c r="F566" s="6" t="s">
        <v>63</v>
      </c>
      <c r="G566" s="6" t="s">
        <v>39</v>
      </c>
      <c r="H566" t="s">
        <v>15</v>
      </c>
      <c r="I566" s="6" t="s">
        <v>23</v>
      </c>
      <c r="J566" s="6" t="s">
        <v>36</v>
      </c>
      <c r="K566" s="6" t="s">
        <v>48</v>
      </c>
      <c r="L566" s="6" t="s">
        <v>62</v>
      </c>
      <c r="M566" s="12">
        <v>83</v>
      </c>
      <c r="N566" s="2">
        <v>271.25</v>
      </c>
      <c r="O566" s="4">
        <v>6.3799999999999996E-2</v>
      </c>
      <c r="P566" s="2">
        <v>22513.75</v>
      </c>
      <c r="Q566" s="2">
        <v>2978.5</v>
      </c>
      <c r="R566" s="2">
        <v>13523.65</v>
      </c>
      <c r="S566" s="2">
        <v>2332.0499999999997</v>
      </c>
      <c r="T566" s="2">
        <v>21077.372750000002</v>
      </c>
      <c r="U566" s="2">
        <v>2243.1727500000034</v>
      </c>
      <c r="V566" s="5">
        <v>0.10642563362172371</v>
      </c>
    </row>
    <row r="567" spans="1:22" x14ac:dyDescent="0.3">
      <c r="A567">
        <f t="shared" si="8"/>
        <v>566</v>
      </c>
      <c r="B567" t="s">
        <v>651</v>
      </c>
      <c r="C567" s="1">
        <v>45728</v>
      </c>
      <c r="D567" t="s">
        <v>41</v>
      </c>
      <c r="E567" s="6" t="s">
        <v>664</v>
      </c>
      <c r="F567" s="6" t="s">
        <v>63</v>
      </c>
      <c r="G567" s="6" t="s">
        <v>69</v>
      </c>
      <c r="H567" t="s">
        <v>15</v>
      </c>
      <c r="I567" s="6" t="s">
        <v>23</v>
      </c>
      <c r="J567" s="6" t="s">
        <v>32</v>
      </c>
      <c r="K567" s="6" t="s">
        <v>37</v>
      </c>
      <c r="L567" s="6" t="s">
        <v>77</v>
      </c>
      <c r="M567" s="12">
        <v>16</v>
      </c>
      <c r="N567" s="2">
        <v>189.7</v>
      </c>
      <c r="O567" s="4">
        <v>8.8200000000000001E-2</v>
      </c>
      <c r="P567" s="2">
        <v>3035.2</v>
      </c>
      <c r="Q567" s="2">
        <v>395.5</v>
      </c>
      <c r="R567" s="2">
        <v>1594.6000000000001</v>
      </c>
      <c r="S567" s="2">
        <v>278.25</v>
      </c>
      <c r="T567" s="2">
        <v>2767.4953599999994</v>
      </c>
      <c r="U567" s="2">
        <v>499.1453599999993</v>
      </c>
      <c r="V567" s="5">
        <v>0.18035996273540253</v>
      </c>
    </row>
    <row r="568" spans="1:22" x14ac:dyDescent="0.3">
      <c r="A568">
        <f t="shared" si="8"/>
        <v>567</v>
      </c>
      <c r="B568" t="s">
        <v>652</v>
      </c>
      <c r="C568" s="1">
        <v>45700</v>
      </c>
      <c r="D568" t="s">
        <v>55</v>
      </c>
      <c r="E568" s="6" t="s">
        <v>664</v>
      </c>
      <c r="F568" s="6" t="s">
        <v>63</v>
      </c>
      <c r="G568" s="6" t="s">
        <v>64</v>
      </c>
      <c r="H568" t="s">
        <v>27</v>
      </c>
      <c r="I568" s="6" t="s">
        <v>28</v>
      </c>
      <c r="J568" s="6" t="s">
        <v>24</v>
      </c>
      <c r="K568" s="6" t="s">
        <v>37</v>
      </c>
      <c r="L568" s="6" t="s">
        <v>60</v>
      </c>
      <c r="M568" s="12">
        <v>609</v>
      </c>
      <c r="N568" s="2">
        <v>172.9</v>
      </c>
      <c r="O568" s="4">
        <v>0.1573</v>
      </c>
      <c r="P568" s="2">
        <v>105296.1</v>
      </c>
      <c r="Q568" s="2">
        <v>6814.85</v>
      </c>
      <c r="R568" s="2">
        <v>51076.899999999994</v>
      </c>
      <c r="S568" s="2">
        <v>4558.0499999999993</v>
      </c>
      <c r="T568" s="2">
        <v>88733.02347</v>
      </c>
      <c r="U568" s="2">
        <v>26283.223470000004</v>
      </c>
      <c r="V568" s="5">
        <v>0.2962056564981827</v>
      </c>
    </row>
    <row r="569" spans="1:22" x14ac:dyDescent="0.3">
      <c r="A569">
        <f t="shared" si="8"/>
        <v>568</v>
      </c>
      <c r="B569" t="s">
        <v>653</v>
      </c>
      <c r="C569" s="1">
        <v>45899</v>
      </c>
      <c r="D569" t="s">
        <v>35</v>
      </c>
      <c r="E569" s="6" t="s">
        <v>662</v>
      </c>
      <c r="F569" s="6" t="s">
        <v>42</v>
      </c>
      <c r="G569" s="6" t="s">
        <v>82</v>
      </c>
      <c r="H569" t="s">
        <v>15</v>
      </c>
      <c r="I569" s="6" t="s">
        <v>16</v>
      </c>
      <c r="J569" s="6" t="s">
        <v>32</v>
      </c>
      <c r="K569" s="6" t="s">
        <v>18</v>
      </c>
      <c r="L569" s="6" t="s">
        <v>29</v>
      </c>
      <c r="M569" s="12">
        <v>152</v>
      </c>
      <c r="N569" s="2">
        <v>171.85</v>
      </c>
      <c r="O569" s="4">
        <v>2.2700000000000001E-2</v>
      </c>
      <c r="P569" s="2">
        <v>26121.200000000001</v>
      </c>
      <c r="Q569" s="2">
        <v>2270.7999999999997</v>
      </c>
      <c r="R569" s="2">
        <v>13129.2</v>
      </c>
      <c r="S569" s="2">
        <v>1844.5</v>
      </c>
      <c r="T569" s="2">
        <v>25528.248759999999</v>
      </c>
      <c r="U569" s="2">
        <v>8283.7487599999986</v>
      </c>
      <c r="V569" s="5">
        <v>0.3244934205193008</v>
      </c>
    </row>
    <row r="570" spans="1:22" x14ac:dyDescent="0.3">
      <c r="A570">
        <f t="shared" si="8"/>
        <v>569</v>
      </c>
      <c r="B570" t="s">
        <v>654</v>
      </c>
      <c r="C570" s="1">
        <v>45970</v>
      </c>
      <c r="D570" t="s">
        <v>67</v>
      </c>
      <c r="E570" s="6" t="s">
        <v>663</v>
      </c>
      <c r="F570" s="6" t="s">
        <v>21</v>
      </c>
      <c r="G570" s="6" t="s">
        <v>69</v>
      </c>
      <c r="H570" t="s">
        <v>27</v>
      </c>
      <c r="I570" s="6" t="s">
        <v>16</v>
      </c>
      <c r="J570" s="6" t="s">
        <v>32</v>
      </c>
      <c r="K570" s="6" t="s">
        <v>48</v>
      </c>
      <c r="L570" s="6" t="s">
        <v>54</v>
      </c>
      <c r="M570" s="12">
        <v>81</v>
      </c>
      <c r="N570" s="2">
        <v>79.45</v>
      </c>
      <c r="O570" s="4">
        <v>7.4299999999999991E-2</v>
      </c>
      <c r="P570" s="2">
        <v>6435.45</v>
      </c>
      <c r="Q570" s="2">
        <v>767.55</v>
      </c>
      <c r="R570" s="2">
        <v>4389</v>
      </c>
      <c r="S570" s="2">
        <v>490</v>
      </c>
      <c r="T570" s="2">
        <v>5957.2960649999995</v>
      </c>
      <c r="U570" s="2">
        <v>310.74606499999959</v>
      </c>
      <c r="V570" s="5">
        <v>5.2162266506390199E-2</v>
      </c>
    </row>
    <row r="571" spans="1:22" x14ac:dyDescent="0.3">
      <c r="A571">
        <f t="shared" si="8"/>
        <v>570</v>
      </c>
      <c r="B571" t="s">
        <v>655</v>
      </c>
      <c r="C571" s="1">
        <v>45776</v>
      </c>
      <c r="D571" t="s">
        <v>61</v>
      </c>
      <c r="E571" s="6" t="s">
        <v>662</v>
      </c>
      <c r="F571" s="6" t="s">
        <v>42</v>
      </c>
      <c r="G571" s="6" t="s">
        <v>82</v>
      </c>
      <c r="H571" t="s">
        <v>15</v>
      </c>
      <c r="I571" s="6" t="s">
        <v>23</v>
      </c>
      <c r="J571" s="6" t="s">
        <v>24</v>
      </c>
      <c r="K571" s="6" t="s">
        <v>33</v>
      </c>
      <c r="L571" s="6" t="s">
        <v>34</v>
      </c>
      <c r="M571" s="12">
        <v>68</v>
      </c>
      <c r="N571" s="2">
        <v>104.3</v>
      </c>
      <c r="O571" s="4">
        <v>8.8800000000000004E-2</v>
      </c>
      <c r="P571" s="2">
        <v>7092.4</v>
      </c>
      <c r="Q571" s="2">
        <v>1282.0500000000002</v>
      </c>
      <c r="R571" s="2">
        <v>3462.9</v>
      </c>
      <c r="S571" s="2">
        <v>709.80000000000007</v>
      </c>
      <c r="T571" s="2">
        <v>6462.5948799999996</v>
      </c>
      <c r="U571" s="2">
        <v>1007.8448799999992</v>
      </c>
      <c r="V571" s="5">
        <v>0.15595049646683087</v>
      </c>
    </row>
    <row r="572" spans="1:22" x14ac:dyDescent="0.3">
      <c r="A572">
        <f t="shared" si="8"/>
        <v>571</v>
      </c>
      <c r="B572" t="s">
        <v>656</v>
      </c>
      <c r="C572" s="1">
        <v>45800</v>
      </c>
      <c r="D572" t="s">
        <v>30</v>
      </c>
      <c r="E572" s="6" t="s">
        <v>662</v>
      </c>
      <c r="F572" s="6" t="s">
        <v>66</v>
      </c>
      <c r="G572" s="6" t="s">
        <v>82</v>
      </c>
      <c r="H572" t="s">
        <v>15</v>
      </c>
      <c r="I572" s="6" t="s">
        <v>23</v>
      </c>
      <c r="J572" s="6" t="s">
        <v>17</v>
      </c>
      <c r="K572" s="6" t="s">
        <v>48</v>
      </c>
      <c r="L572" s="6" t="s">
        <v>74</v>
      </c>
      <c r="M572" s="12">
        <v>50</v>
      </c>
      <c r="N572" s="2">
        <v>155.75</v>
      </c>
      <c r="O572" s="4">
        <v>8.9800000000000005E-2</v>
      </c>
      <c r="P572" s="2">
        <v>7787.5</v>
      </c>
      <c r="Q572" s="2">
        <v>1133.6500000000001</v>
      </c>
      <c r="R572" s="2">
        <v>4681.9500000000007</v>
      </c>
      <c r="S572" s="2">
        <v>698.6</v>
      </c>
      <c r="T572" s="2">
        <v>7088.1824999999999</v>
      </c>
      <c r="U572" s="2">
        <v>573.98249999999871</v>
      </c>
      <c r="V572" s="5">
        <v>8.097738736269823E-2</v>
      </c>
    </row>
    <row r="573" spans="1:22" x14ac:dyDescent="0.3">
      <c r="A573">
        <f t="shared" si="8"/>
        <v>572</v>
      </c>
      <c r="B573" t="s">
        <v>657</v>
      </c>
      <c r="C573" s="1">
        <v>45800</v>
      </c>
      <c r="D573" t="s">
        <v>30</v>
      </c>
      <c r="E573" s="6" t="s">
        <v>664</v>
      </c>
      <c r="F573" s="6" t="s">
        <v>63</v>
      </c>
      <c r="G573" s="6" t="s">
        <v>64</v>
      </c>
      <c r="H573" t="s">
        <v>15</v>
      </c>
      <c r="I573" s="6" t="s">
        <v>16</v>
      </c>
      <c r="J573" s="6" t="s">
        <v>32</v>
      </c>
      <c r="K573" s="6" t="s">
        <v>48</v>
      </c>
      <c r="L573" s="6" t="s">
        <v>62</v>
      </c>
      <c r="M573" s="12">
        <v>30</v>
      </c>
      <c r="N573" s="2">
        <v>274.75</v>
      </c>
      <c r="O573" s="4">
        <v>8.8200000000000001E-2</v>
      </c>
      <c r="P573" s="2">
        <v>8242.5</v>
      </c>
      <c r="Q573" s="2">
        <v>963.55000000000007</v>
      </c>
      <c r="R573" s="2">
        <v>4810.75</v>
      </c>
      <c r="S573" s="2">
        <v>636.29999999999995</v>
      </c>
      <c r="T573" s="2">
        <v>7515.5114999999996</v>
      </c>
      <c r="U573" s="2">
        <v>1104.9114999999993</v>
      </c>
      <c r="V573" s="5">
        <v>0.1470174717981603</v>
      </c>
    </row>
    <row r="574" spans="1:22" x14ac:dyDescent="0.3">
      <c r="A574">
        <f t="shared" si="8"/>
        <v>573</v>
      </c>
      <c r="B574" t="s">
        <v>658</v>
      </c>
      <c r="C574" s="1">
        <v>45751</v>
      </c>
      <c r="D574" t="s">
        <v>61</v>
      </c>
      <c r="E574" s="6" t="s">
        <v>663</v>
      </c>
      <c r="F574" s="6" t="s">
        <v>21</v>
      </c>
      <c r="G574" s="6" t="s">
        <v>64</v>
      </c>
      <c r="H574" t="s">
        <v>27</v>
      </c>
      <c r="I574" s="6" t="s">
        <v>31</v>
      </c>
      <c r="J574" s="6" t="s">
        <v>17</v>
      </c>
      <c r="K574" s="6" t="s">
        <v>37</v>
      </c>
      <c r="L574" s="6" t="s">
        <v>90</v>
      </c>
      <c r="M574" s="12">
        <v>791</v>
      </c>
      <c r="N574" s="2">
        <v>138.6</v>
      </c>
      <c r="O574" s="4">
        <v>0.2477</v>
      </c>
      <c r="P574" s="2">
        <v>109632.59999999999</v>
      </c>
      <c r="Q574" s="2">
        <v>5931.1</v>
      </c>
      <c r="R574" s="2">
        <v>48877.15</v>
      </c>
      <c r="S574" s="2">
        <v>4049.5</v>
      </c>
      <c r="T574" s="2">
        <v>82476.604979999989</v>
      </c>
      <c r="U574" s="2">
        <v>23618.854979999989</v>
      </c>
      <c r="V574" s="5">
        <v>0.28637035903366048</v>
      </c>
    </row>
    <row r="575" spans="1:22" x14ac:dyDescent="0.3">
      <c r="A575">
        <f t="shared" si="8"/>
        <v>574</v>
      </c>
      <c r="B575" t="s">
        <v>659</v>
      </c>
      <c r="C575" s="1">
        <v>45839</v>
      </c>
      <c r="D575" t="s">
        <v>26</v>
      </c>
      <c r="E575" s="6" t="s">
        <v>662</v>
      </c>
      <c r="F575" s="6" t="s">
        <v>42</v>
      </c>
      <c r="G575" s="6" t="s">
        <v>69</v>
      </c>
      <c r="H575" t="s">
        <v>15</v>
      </c>
      <c r="I575" s="6" t="s">
        <v>23</v>
      </c>
      <c r="J575" s="6" t="s">
        <v>17</v>
      </c>
      <c r="K575" s="6" t="s">
        <v>46</v>
      </c>
      <c r="L575" s="6" t="s">
        <v>81</v>
      </c>
      <c r="M575" s="12">
        <v>109</v>
      </c>
      <c r="N575" s="2">
        <v>145.25</v>
      </c>
      <c r="O575" s="4">
        <v>7.0999999999999994E-2</v>
      </c>
      <c r="P575" s="2">
        <v>15832.25</v>
      </c>
      <c r="Q575" s="2">
        <v>2924.25</v>
      </c>
      <c r="R575" s="2">
        <v>7535.15</v>
      </c>
      <c r="S575" s="2">
        <v>1791.3</v>
      </c>
      <c r="T575" s="2">
        <v>14708.160250000001</v>
      </c>
      <c r="U575" s="2">
        <v>2457.4602500000019</v>
      </c>
      <c r="V575" s="5">
        <v>0.1670814165898146</v>
      </c>
    </row>
    <row r="576" spans="1:22" x14ac:dyDescent="0.3">
      <c r="A576">
        <f t="shared" si="8"/>
        <v>575</v>
      </c>
      <c r="B576" t="s">
        <v>660</v>
      </c>
      <c r="C576" s="1">
        <v>45920</v>
      </c>
      <c r="D576" t="s">
        <v>14</v>
      </c>
      <c r="E576" s="6" t="s">
        <v>664</v>
      </c>
      <c r="F576" s="6" t="s">
        <v>63</v>
      </c>
      <c r="G576" s="6" t="s">
        <v>68</v>
      </c>
      <c r="H576" t="s">
        <v>27</v>
      </c>
      <c r="I576" s="6" t="s">
        <v>28</v>
      </c>
      <c r="J576" s="6" t="s">
        <v>32</v>
      </c>
      <c r="K576" s="6" t="s">
        <v>48</v>
      </c>
      <c r="L576" s="6" t="s">
        <v>56</v>
      </c>
      <c r="M576" s="12">
        <v>349</v>
      </c>
      <c r="N576" s="2">
        <v>119.7</v>
      </c>
      <c r="O576" s="4">
        <v>0.10189999999999999</v>
      </c>
      <c r="P576" s="2">
        <v>41775.300000000003</v>
      </c>
      <c r="Q576" s="2">
        <v>2291.8000000000002</v>
      </c>
      <c r="R576" s="2">
        <v>22466.85</v>
      </c>
      <c r="S576" s="2">
        <v>2204.2999999999997</v>
      </c>
      <c r="T576" s="2">
        <v>37518.396930000003</v>
      </c>
      <c r="U576" s="2">
        <v>10555.446930000002</v>
      </c>
      <c r="V576" s="5">
        <v>0.28134056339597452</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Questions &amp; KPI's</vt:lpstr>
      <vt:lpstr>Pivots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patil</dc:creator>
  <cp:lastModifiedBy>aditya patil</cp:lastModifiedBy>
  <dcterms:created xsi:type="dcterms:W3CDTF">2026-04-26T17:04:44Z</dcterms:created>
  <dcterms:modified xsi:type="dcterms:W3CDTF">2026-05-01T16:08:14Z</dcterms:modified>
</cp:coreProperties>
</file>